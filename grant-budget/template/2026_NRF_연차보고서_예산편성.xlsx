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연구원별 예산편성" sheetId="1" state="visible" r:id="rId3"/>
    <sheet name="기존실험 지출통계" sheetId="2" state="visible" r:id="rId4"/>
    <sheet name="장비구매 희망목록" sheetId="3" state="visible" r:id="rId5"/>
    <sheet name="예산총괄" sheetId="4" state="visible" r:id="rId6"/>
    <sheet name="제출일정·담당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<sst xmlns="http://schemas.openxmlformats.org/spreadsheetml/2006/main" count="147" uniqueCount="102">
  <si>
    <t xml:space="preserve">연구원별 예산 편성</t>
  </si>
  <si>
    <r>
      <rPr>
        <sz val="11"/>
        <color rgb="FFAAAAAA"/>
        <rFont val="DejaVu Sans"/>
        <family val="2"/>
      </rPr>
      <t xml:space="preserve">크림색 </t>
    </r>
    <r>
      <rPr>
        <sz val="11"/>
        <color rgb="FFAAAAAA"/>
        <rFont val="Arial"/>
        <family val="0"/>
        <charset val="1"/>
      </rPr>
      <t xml:space="preserve">= </t>
    </r>
    <r>
      <rPr>
        <sz val="11"/>
        <color rgb="FFAAAAAA"/>
        <rFont val="DejaVu Sans"/>
        <family val="2"/>
      </rPr>
      <t xml:space="preserve">필수입력   </t>
    </r>
    <r>
      <rPr>
        <sz val="11"/>
        <color rgb="FFAAAAAA"/>
        <rFont val="Arial"/>
        <family val="0"/>
        <charset val="1"/>
      </rPr>
      <t xml:space="preserve">|   </t>
    </r>
    <r>
      <rPr>
        <sz val="11"/>
        <color rgb="FFAAAAAA"/>
        <rFont val="DejaVu Sans"/>
        <family val="2"/>
      </rPr>
      <t xml:space="preserve">회색 </t>
    </r>
    <r>
      <rPr>
        <sz val="11"/>
        <color rgb="FFAAAAAA"/>
        <rFont val="Arial"/>
        <family val="0"/>
        <charset val="1"/>
      </rPr>
      <t xml:space="preserve">= </t>
    </r>
    <r>
      <rPr>
        <sz val="11"/>
        <color rgb="FFAAAAAA"/>
        <rFont val="DejaVu Sans"/>
        <family val="2"/>
      </rPr>
      <t xml:space="preserve">자동계산</t>
    </r>
  </si>
  <si>
    <t xml:space="preserve">연구원</t>
  </si>
  <si>
    <t xml:space="preserve">실험유형</t>
  </si>
  <si>
    <r>
      <rPr>
        <b val="true"/>
        <sz val="11"/>
        <color rgb="FFFFFFFF"/>
        <rFont val="DejaVu Sans"/>
        <family val="2"/>
      </rPr>
      <t xml:space="preserve">모집인원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명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</si>
  <si>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인당
참여자비 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</si>
  <si>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참여자비
소계 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</si>
  <si>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인프라 비용
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</si>
  <si>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실험 시작
</t>
    </r>
    <r>
      <rPr>
        <b val="true"/>
        <sz val="11"/>
        <color rgb="FFFFFFFF"/>
        <rFont val="Arial"/>
        <family val="0"/>
        <charset val="1"/>
      </rPr>
      <t xml:space="preserve">(YYMMDD)</t>
    </r>
  </si>
  <si>
    <r>
      <rPr>
        <b val="true"/>
        <sz val="11"/>
        <color rgb="FFFFFFFF"/>
        <rFont val="DejaVu Sans"/>
        <family val="2"/>
      </rPr>
      <t xml:space="preserve">실험 종료
</t>
    </r>
    <r>
      <rPr>
        <b val="true"/>
        <sz val="11"/>
        <color rgb="FFFFFFFF"/>
        <rFont val="Arial"/>
        <family val="0"/>
        <charset val="1"/>
      </rPr>
      <t xml:space="preserve">(YYMMDD)</t>
    </r>
  </si>
  <si>
    <t xml:space="preserve">GPU</t>
  </si>
  <si>
    <t xml:space="preserve">비고</t>
  </si>
  <si>
    <t xml:space="preserve">임재섭</t>
  </si>
  <si>
    <t xml:space="preserve">최민진</t>
  </si>
  <si>
    <t xml:space="preserve">여민수</t>
  </si>
  <si>
    <t xml:space="preserve">박준오</t>
  </si>
  <si>
    <t xml:space="preserve">이보연</t>
  </si>
  <si>
    <t xml:space="preserve">김정예</t>
  </si>
  <si>
    <t xml:space="preserve">류주형</t>
  </si>
  <si>
    <t xml:space="preserve">정새미</t>
  </si>
  <si>
    <t xml:space="preserve">김성제</t>
  </si>
  <si>
    <t xml:space="preserve">조수영</t>
  </si>
  <si>
    <t xml:space="preserve">이보현</t>
  </si>
  <si>
    <r>
      <rPr>
        <b val="true"/>
        <sz val="11"/>
        <color rgb="FF4A7C59"/>
        <rFont val="Arial"/>
        <family val="0"/>
        <charset val="1"/>
      </rPr>
      <t xml:space="preserve">(</t>
    </r>
    <r>
      <rPr>
        <b val="true"/>
        <sz val="11"/>
        <color rgb="FF4A7C59"/>
        <rFont val="DejaVu Sans"/>
        <family val="2"/>
      </rPr>
      <t xml:space="preserve">공용</t>
    </r>
    <r>
      <rPr>
        <b val="true"/>
        <sz val="11"/>
        <color rgb="FF4A7C59"/>
        <rFont val="Arial"/>
        <family val="0"/>
        <charset val="1"/>
      </rPr>
      <t xml:space="preserve">)</t>
    </r>
  </si>
  <si>
    <t xml:space="preserve">합계</t>
  </si>
  <si>
    <t xml:space="preserve">기존 실험 지출 통계</t>
  </si>
  <si>
    <t xml:space="preserve">실험명</t>
  </si>
  <si>
    <r>
      <rPr>
        <b val="true"/>
        <sz val="11"/>
        <color rgb="FFFFFFFF"/>
        <rFont val="DejaVu Sans"/>
        <family val="2"/>
      </rPr>
      <t xml:space="preserve">참여자 수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명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</si>
  <si>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인당 비용
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</si>
  <si>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총 지출액
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</si>
  <si>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실험 시기
</t>
    </r>
    <r>
      <rPr>
        <b val="true"/>
        <sz val="11"/>
        <color rgb="FFFFFFFF"/>
        <rFont val="Arial"/>
        <family val="0"/>
        <charset val="1"/>
      </rPr>
      <t xml:space="preserve">(YYMMDD)</t>
    </r>
  </si>
  <si>
    <r>
      <rPr>
        <b val="true"/>
        <sz val="15"/>
        <color rgb="FF3B5998"/>
        <rFont val="DejaVu Sans"/>
        <family val="2"/>
      </rPr>
      <t xml:space="preserve">장비 </t>
    </r>
    <r>
      <rPr>
        <b val="true"/>
        <sz val="15"/>
        <color rgb="FF3B5998"/>
        <rFont val="Arial"/>
        <family val="0"/>
        <charset val="1"/>
      </rPr>
      <t xml:space="preserve">· SW · </t>
    </r>
    <r>
      <rPr>
        <b val="true"/>
        <sz val="15"/>
        <color rgb="FF3B5998"/>
        <rFont val="DejaVu Sans"/>
        <family val="2"/>
      </rPr>
      <t xml:space="preserve">서비스 구매 희망 목록</t>
    </r>
  </si>
  <si>
    <t xml:space="preserve">분류</t>
  </si>
  <si>
    <r>
      <rPr>
        <b val="true"/>
        <sz val="11"/>
        <color rgb="FFFFFFFF"/>
        <rFont val="DejaVu Sans"/>
        <family val="2"/>
      </rPr>
      <t xml:space="preserve">제품명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모델명</t>
    </r>
  </si>
  <si>
    <t xml:space="preserve">용도</t>
  </si>
  <si>
    <r>
      <rPr>
        <b val="true"/>
        <sz val="11"/>
        <color rgb="FFFFFFFF"/>
        <rFont val="DejaVu Sans"/>
        <family val="2"/>
      </rPr>
      <t xml:space="preserve">구매 링크 </t>
    </r>
    <r>
      <rPr>
        <b val="true"/>
        <sz val="11"/>
        <color rgb="FFFFFFFF"/>
        <rFont val="Arial"/>
        <family val="0"/>
        <charset val="1"/>
      </rPr>
      <t xml:space="preserve">(URL)</t>
    </r>
  </si>
  <si>
    <r>
      <rPr>
        <b val="true"/>
        <sz val="11"/>
        <color rgb="FFFFFFFF"/>
        <rFont val="DejaVu Sans"/>
        <family val="2"/>
      </rPr>
      <t xml:space="preserve">단가 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</si>
  <si>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수량</t>
  </si>
  <si>
    <r>
      <rPr>
        <b val="true"/>
        <sz val="11"/>
        <color rgb="FFFFFFFF"/>
        <rFont val="DejaVu Sans"/>
        <family val="2"/>
      </rPr>
      <t xml:space="preserve">소계 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</si>
  <si>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예산 편성 총괄표</t>
  </si>
  <si>
    <t xml:space="preserve">모든 금액은 타 시트에서 자동 합산됩니다</t>
  </si>
  <si>
    <t xml:space="preserve">항목</t>
  </si>
  <si>
    <t xml:space="preserve">세부 내역</t>
  </si>
  <si>
    <r>
      <rPr>
        <b val="true"/>
        <sz val="11"/>
        <color rgb="FFFFFFFF"/>
        <rFont val="DejaVu Sans"/>
        <family val="2"/>
      </rPr>
      <t xml:space="preserve">금액 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</si>
  <si>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참조</t>
  </si>
  <si>
    <t xml:space="preserve">연구 참여자비</t>
  </si>
  <si>
    <t xml:space="preserve">오프라인 행동 실험</t>
  </si>
  <si>
    <r>
      <rPr>
        <sz val="9"/>
        <color rgb="FF7AAB8E"/>
        <rFont val="DejaVu Sans"/>
        <family val="2"/>
      </rPr>
      <t xml:space="preserve">예산편성 오프라인 </t>
    </r>
    <r>
      <rPr>
        <sz val="9"/>
        <color rgb="FF7AAB8E"/>
        <rFont val="Arial"/>
        <family val="0"/>
        <charset val="1"/>
      </rPr>
      <t xml:space="preserve">SUMIF</t>
    </r>
  </si>
  <si>
    <t xml:space="preserve">온라인 실험</t>
  </si>
  <si>
    <t xml:space="preserve">지출통계 합계</t>
  </si>
  <si>
    <t xml:space="preserve">기집행분</t>
  </si>
  <si>
    <r>
      <rPr>
        <sz val="11"/>
        <color rgb="FF333333"/>
        <rFont val="Arial"/>
        <family val="0"/>
        <charset val="1"/>
      </rPr>
      <t xml:space="preserve">MRI </t>
    </r>
    <r>
      <rPr>
        <sz val="11"/>
        <color rgb="FF333333"/>
        <rFont val="DejaVu Sans"/>
        <family val="2"/>
      </rPr>
      <t xml:space="preserve">실험</t>
    </r>
  </si>
  <si>
    <r>
      <rPr>
        <sz val="9"/>
        <color rgb="FF7AAB8E"/>
        <rFont val="DejaVu Sans"/>
        <family val="2"/>
      </rPr>
      <t xml:space="preserve">예산편성 </t>
    </r>
    <r>
      <rPr>
        <sz val="9"/>
        <color rgb="FF7AAB8E"/>
        <rFont val="Arial"/>
        <family val="0"/>
        <charset val="1"/>
      </rPr>
      <t xml:space="preserve">MRI SUMIF</t>
    </r>
  </si>
  <si>
    <t xml:space="preserve">소계</t>
  </si>
  <si>
    <r>
      <rPr>
        <b val="true"/>
        <sz val="11"/>
        <color rgb="FF333333"/>
        <rFont val="DejaVu Sans"/>
        <family val="2"/>
      </rPr>
      <t xml:space="preserve">연구장비</t>
    </r>
    <r>
      <rPr>
        <b val="true"/>
        <sz val="11"/>
        <color rgb="FF333333"/>
        <rFont val="Arial"/>
        <family val="0"/>
        <charset val="1"/>
      </rPr>
      <t xml:space="preserve">·</t>
    </r>
    <r>
      <rPr>
        <b val="true"/>
        <sz val="11"/>
        <color rgb="FF333333"/>
        <rFont val="DejaVu Sans"/>
        <family val="2"/>
      </rPr>
      <t xml:space="preserve">재료비</t>
    </r>
  </si>
  <si>
    <r>
      <rPr>
        <sz val="11"/>
        <color rgb="FF333333"/>
        <rFont val="Arial"/>
        <family val="0"/>
        <charset val="1"/>
      </rPr>
      <t xml:space="preserve">HW (</t>
    </r>
    <r>
      <rPr>
        <sz val="11"/>
        <color rgb="FF333333"/>
        <rFont val="DejaVu Sans"/>
        <family val="2"/>
      </rPr>
      <t xml:space="preserve">데스크탑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모니터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부품</t>
    </r>
    <r>
      <rPr>
        <sz val="11"/>
        <color rgb="FF333333"/>
        <rFont val="Arial"/>
        <family val="0"/>
        <charset val="1"/>
      </rPr>
      <t xml:space="preserve">)</t>
    </r>
  </si>
  <si>
    <t xml:space="preserve">장비시트</t>
  </si>
  <si>
    <r>
      <rPr>
        <sz val="11"/>
        <color rgb="FF333333"/>
        <rFont val="Arial"/>
        <family val="0"/>
        <charset val="1"/>
      </rPr>
      <t xml:space="preserve">SW (</t>
    </r>
    <r>
      <rPr>
        <sz val="11"/>
        <color rgb="FF333333"/>
        <rFont val="DejaVu Sans"/>
        <family val="2"/>
      </rPr>
      <t xml:space="preserve">라이선스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구독</t>
    </r>
    <r>
      <rPr>
        <sz val="11"/>
        <color rgb="FF333333"/>
        <rFont val="Arial"/>
        <family val="0"/>
        <charset val="1"/>
      </rPr>
      <t xml:space="preserve">)</t>
    </r>
  </si>
  <si>
    <r>
      <rPr>
        <sz val="11"/>
        <color rgb="FF333333"/>
        <rFont val="Arial"/>
        <family val="0"/>
        <charset val="1"/>
      </rPr>
      <t xml:space="preserve">AI </t>
    </r>
    <r>
      <rPr>
        <sz val="11"/>
        <color rgb="FF333333"/>
        <rFont val="DejaVu Sans"/>
        <family val="2"/>
      </rPr>
      <t xml:space="preserve">요금</t>
    </r>
    <r>
      <rPr>
        <sz val="11"/>
        <color rgb="FF333333"/>
        <rFont val="Arial"/>
        <family val="0"/>
        <charset val="1"/>
      </rPr>
      <t xml:space="preserve">/API</t>
    </r>
  </si>
  <si>
    <r>
      <rPr>
        <sz val="11"/>
        <color rgb="FF333333"/>
        <rFont val="DejaVu Sans"/>
        <family val="2"/>
      </rPr>
      <t xml:space="preserve">주변기기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악세사리</t>
    </r>
  </si>
  <si>
    <r>
      <rPr>
        <sz val="11"/>
        <color rgb="FF333333"/>
        <rFont val="DejaVu Sans"/>
        <family val="2"/>
      </rPr>
      <t xml:space="preserve">실험기자재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소모품</t>
    </r>
  </si>
  <si>
    <t xml:space="preserve">기타</t>
  </si>
  <si>
    <t xml:space="preserve">연차보고서 제출 일정 및 담당자</t>
  </si>
  <si>
    <t xml:space="preserve">마감일</t>
  </si>
  <si>
    <t xml:space="preserve">담당자</t>
  </si>
  <si>
    <t xml:space="preserve">완료</t>
  </si>
  <si>
    <r>
      <rPr>
        <b val="true"/>
        <sz val="11"/>
        <rFont val="Arial"/>
        <family val="0"/>
        <charset val="1"/>
      </rPr>
      <t xml:space="preserve">4/3 (</t>
    </r>
    <r>
      <rPr>
        <b val="true"/>
        <sz val="11"/>
        <rFont val="DejaVu Sans"/>
        <family val="2"/>
      </rPr>
      <t xml:space="preserve">금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</si>
  <si>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IRIS </t>
    </r>
    <r>
      <rPr>
        <sz val="11"/>
        <rFont val="DejaVu Sans"/>
        <family val="2"/>
      </rPr>
      <t xml:space="preserve">정량적 성과 등록</t>
    </r>
  </si>
  <si>
    <r>
      <rPr>
        <sz val="11"/>
        <rFont val="DejaVu Sans"/>
        <family val="2"/>
      </rPr>
      <t xml:space="preserve">임주희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각 연구원</t>
    </r>
  </si>
  <si>
    <t xml:space="preserve">⬜</t>
  </si>
  <si>
    <r>
      <rPr>
        <sz val="11"/>
        <rFont val="DejaVu Sans"/>
        <family val="2"/>
      </rPr>
      <t xml:space="preserve">성과등록 </t>
    </r>
    <r>
      <rPr>
        <sz val="11"/>
        <rFont val="Arial"/>
        <family val="0"/>
        <charset val="1"/>
      </rPr>
      <t xml:space="preserve">(Neuron, iScience, ImagingNeuro)</t>
    </r>
  </si>
  <si>
    <t xml:space="preserve">임주희</t>
  </si>
  <si>
    <r>
      <rPr>
        <sz val="11"/>
        <color rgb="FF666666"/>
        <rFont val="Arial"/>
        <family val="0"/>
        <charset val="1"/>
      </rPr>
      <t xml:space="preserve">3</t>
    </r>
    <r>
      <rPr>
        <sz val="11"/>
        <color rgb="FF666666"/>
        <rFont val="DejaVu Sans"/>
        <family val="2"/>
      </rPr>
      <t xml:space="preserve">편</t>
    </r>
  </si>
  <si>
    <r>
      <rPr>
        <b val="true"/>
        <sz val="11"/>
        <rFont val="Arial"/>
        <family val="0"/>
        <charset val="1"/>
      </rPr>
      <t xml:space="preserve">4/6 (</t>
    </r>
    <r>
      <rPr>
        <b val="true"/>
        <sz val="11"/>
        <rFont val="DejaVu Sans"/>
        <family val="2"/>
      </rPr>
      <t xml:space="preserve">일</t>
    </r>
    <r>
      <rPr>
        <b val="true"/>
        <sz val="11"/>
        <rFont val="Arial"/>
        <family val="0"/>
        <charset val="1"/>
      </rPr>
      <t xml:space="preserve">)</t>
    </r>
  </si>
  <si>
    <t xml:space="preserve">예산 편성 스프레드시트 취합</t>
  </si>
  <si>
    <t xml:space="preserve">전원</t>
  </si>
  <si>
    <t xml:space="preserve">본 스프레드시트</t>
  </si>
  <si>
    <r>
      <rPr>
        <b val="true"/>
        <sz val="11"/>
        <rFont val="Arial"/>
        <family val="0"/>
        <charset val="1"/>
      </rPr>
      <t xml:space="preserve">4/7 (</t>
    </r>
    <r>
      <rPr>
        <b val="true"/>
        <sz val="11"/>
        <rFont val="DejaVu Sans"/>
        <family val="2"/>
      </rPr>
      <t xml:space="preserve">월</t>
    </r>
    <r>
      <rPr>
        <b val="true"/>
        <sz val="11"/>
        <rFont val="Arial"/>
        <family val="0"/>
        <charset val="1"/>
      </rPr>
      <t xml:space="preserve">)</t>
    </r>
  </si>
  <si>
    <t xml:space="preserve">국내외 환경변화 논문 조사 요약</t>
  </si>
  <si>
    <r>
      <rPr>
        <sz val="11"/>
        <rFont val="DejaVu Sans"/>
        <family val="2"/>
      </rPr>
      <t xml:space="preserve">이보현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조수영</t>
    </r>
  </si>
  <si>
    <t xml:space="preserve">2024-2026</t>
  </si>
  <si>
    <r>
      <rPr>
        <b val="true"/>
        <sz val="11"/>
        <rFont val="Arial"/>
        <family val="0"/>
        <charset val="1"/>
      </rPr>
      <t xml:space="preserve">4/8 (</t>
    </r>
    <r>
      <rPr>
        <b val="true"/>
        <sz val="11"/>
        <rFont val="DejaVu Sans"/>
        <family val="2"/>
      </rPr>
      <t xml:space="preserve">화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</si>
  <si>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Special GRM </t>
    </r>
    <r>
      <rPr>
        <sz val="11"/>
        <rFont val="DejaVu Sans"/>
        <family val="2"/>
      </rPr>
      <t xml:space="preserve">프로젝트 업데이트</t>
    </r>
  </si>
  <si>
    <r>
      <rPr>
        <sz val="11"/>
        <rFont val="DejaVu Sans"/>
        <family val="2"/>
      </rPr>
      <t xml:space="preserve">전원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이보현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조수영 제외</t>
    </r>
    <r>
      <rPr>
        <sz val="11"/>
        <rFont val="Arial"/>
        <family val="0"/>
        <charset val="1"/>
      </rPr>
      <t xml:space="preserve">)</t>
    </r>
  </si>
  <si>
    <r>
      <rPr>
        <sz val="11"/>
        <color rgb="FF666666"/>
        <rFont val="Arial"/>
        <family val="0"/>
        <charset val="1"/>
      </rPr>
      <t xml:space="preserve">10</t>
    </r>
    <r>
      <rPr>
        <sz val="11"/>
        <color rgb="FF666666"/>
        <rFont val="DejaVu Sans"/>
        <family val="2"/>
      </rPr>
      <t xml:space="preserve">분</t>
    </r>
    <r>
      <rPr>
        <sz val="11"/>
        <color rgb="FF666666"/>
        <rFont val="Arial"/>
        <family val="0"/>
        <charset val="1"/>
      </rPr>
      <t xml:space="preserve">+2</t>
    </r>
    <r>
      <rPr>
        <sz val="11"/>
        <color rgb="FF666666"/>
        <rFont val="DejaVu Sans"/>
        <family val="2"/>
      </rPr>
      <t xml:space="preserve">분</t>
    </r>
  </si>
  <si>
    <r>
      <rPr>
        <b val="true"/>
        <sz val="11"/>
        <rFont val="Arial"/>
        <family val="0"/>
        <charset val="1"/>
      </rPr>
      <t xml:space="preserve">4/9 (</t>
    </r>
    <r>
      <rPr>
        <b val="true"/>
        <sz val="11"/>
        <rFont val="DejaVu Sans"/>
        <family val="2"/>
      </rPr>
      <t xml:space="preserve">수</t>
    </r>
    <r>
      <rPr>
        <b val="true"/>
        <sz val="11"/>
        <rFont val="Arial"/>
        <family val="0"/>
        <charset val="1"/>
      </rPr>
      <t xml:space="preserve">)</t>
    </r>
  </si>
  <si>
    <t xml:space="preserve">해외파견 요약문</t>
  </si>
  <si>
    <t xml:space="preserve">최종본 취합</t>
  </si>
  <si>
    <r>
      <rPr>
        <sz val="11"/>
        <rFont val="DejaVu Sans"/>
        <family val="2"/>
      </rPr>
      <t xml:space="preserve">교수님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박준오</t>
    </r>
  </si>
  <si>
    <r>
      <rPr>
        <sz val="11"/>
        <color rgb="FF666666"/>
        <rFont val="Arial"/>
        <family val="0"/>
        <charset val="1"/>
      </rPr>
      <t xml:space="preserve">GRM </t>
    </r>
    <r>
      <rPr>
        <sz val="11"/>
        <color rgb="FF666666"/>
        <rFont val="DejaVu Sans"/>
        <family val="2"/>
      </rPr>
      <t xml:space="preserve">반영</t>
    </r>
  </si>
  <si>
    <r>
      <rPr>
        <b val="true"/>
        <sz val="11"/>
        <rFont val="Arial"/>
        <family val="0"/>
        <charset val="1"/>
      </rPr>
      <t xml:space="preserve">4/10 (</t>
    </r>
    <r>
      <rPr>
        <b val="true"/>
        <sz val="11"/>
        <rFont val="DejaVu Sans"/>
        <family val="2"/>
      </rPr>
      <t xml:space="preserve">목</t>
    </r>
    <r>
      <rPr>
        <b val="true"/>
        <sz val="11"/>
        <rFont val="Arial"/>
        <family val="0"/>
        <charset val="1"/>
      </rPr>
      <t xml:space="preserve">)</t>
    </r>
  </si>
  <si>
    <t xml:space="preserve">연차보고서 최종 제출</t>
  </si>
  <si>
    <t xml:space="preserve">논문 정성적 요약 담당</t>
  </si>
  <si>
    <r>
      <rPr>
        <sz val="11"/>
        <rFont val="DejaVu Sans"/>
        <family val="2"/>
      </rPr>
      <t xml:space="preserve">논문 요약 — </t>
    </r>
    <r>
      <rPr>
        <sz val="11"/>
        <rFont val="Arial"/>
        <family val="0"/>
        <charset val="1"/>
      </rPr>
      <t xml:space="preserve">Neuron</t>
    </r>
  </si>
  <si>
    <r>
      <rPr>
        <sz val="11"/>
        <rFont val="DejaVu Sans"/>
        <family val="2"/>
      </rPr>
      <t xml:space="preserve">논문 요약 — </t>
    </r>
    <r>
      <rPr>
        <sz val="11"/>
        <rFont val="Arial"/>
        <family val="0"/>
        <charset val="1"/>
      </rPr>
      <t xml:space="preserve">iScience</t>
    </r>
  </si>
  <si>
    <r>
      <rPr>
        <sz val="11"/>
        <rFont val="DejaVu Sans"/>
        <family val="2"/>
      </rPr>
      <t xml:space="preserve">논문 요약 — </t>
    </r>
    <r>
      <rPr>
        <sz val="11"/>
        <rFont val="Arial"/>
        <family val="0"/>
        <charset val="1"/>
      </rPr>
      <t xml:space="preserve">Imaging Neuroscience</t>
    </r>
  </si>
  <si>
    <r>
      <rPr>
        <b val="true"/>
        <sz val="11"/>
        <color rgb="FF7030A0"/>
        <rFont val="Arial"/>
        <family val="0"/>
        <charset val="1"/>
      </rPr>
      <t xml:space="preserve">Special GRM </t>
    </r>
    <r>
      <rPr>
        <b val="true"/>
        <sz val="11"/>
        <color rgb="FF7030A0"/>
        <rFont val="DejaVu Sans"/>
        <family val="2"/>
      </rPr>
      <t xml:space="preserve">발표 정보 </t>
    </r>
    <r>
      <rPr>
        <b val="true"/>
        <sz val="11"/>
        <color rgb="FF7030A0"/>
        <rFont val="Arial"/>
        <family val="0"/>
        <charset val="1"/>
      </rPr>
      <t xml:space="preserve">(4/8)</t>
    </r>
  </si>
  <si>
    <t xml:space="preserve">순서</t>
  </si>
  <si>
    <t xml:space="preserve">발표자</t>
  </si>
  <si>
    <t xml:space="preserve">발표 제목</t>
  </si>
  <si>
    <r>
      <rPr>
        <b val="true"/>
        <sz val="11"/>
        <color rgb="FFFFFFFF"/>
        <rFont val="Arial"/>
        <family val="0"/>
        <charset val="1"/>
      </rPr>
      <t xml:space="preserve">Abstract (</t>
    </r>
    <r>
      <rPr>
        <b val="true"/>
        <sz val="11"/>
        <color rgb="FFFFFFFF"/>
        <rFont val="DejaVu Sans"/>
        <family val="2"/>
      </rPr>
      <t xml:space="preserve">요약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</si>
  <si>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발표자료 서버주소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</si>
</sst>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3B5998"/>
      <name val="DejaVu Sans"/>
      <family val="2"/>
    </font>
    <font>
      <sz val="11"/>
      <color rgb="FFAAAAAA"/>
      <name val="DejaVu Sans"/>
      <family val="2"/>
    </font>
    <font>
      <sz val="11"/>
      <color rgb="FFAAAAAA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333333"/>
      <name val="DejaVu Sans"/>
      <family val="2"/>
    </font>
    <font>
      <sz val="11"/>
      <color rgb="FF333333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rgb="FF7AAB8E"/>
      <name val="Arial"/>
      <family val="0"/>
      <charset val="1"/>
    </font>
    <font>
      <b val="true"/>
      <sz val="11"/>
      <color rgb="FF4A7C59"/>
      <name val="Arial"/>
      <family val="0"/>
      <charset val="1"/>
    </font>
    <font>
      <b val="true"/>
      <sz val="11"/>
      <color rgb="FF4A7C59"/>
      <name val="DejaVu Sans"/>
      <family val="2"/>
    </font>
    <font>
      <b val="true"/>
      <sz val="11"/>
      <color rgb="FF3B5998"/>
      <name val="DejaVu Sans"/>
      <family val="2"/>
    </font>
    <font>
      <b val="true"/>
      <sz val="11"/>
      <color rgb="FF3B5998"/>
      <name val="Arial"/>
      <family val="0"/>
      <charset val="1"/>
    </font>
    <font>
      <b val="true"/>
      <sz val="15"/>
      <color rgb="FF4A7C59"/>
      <name val="DejaVu Sans"/>
      <family val="2"/>
    </font>
    <font>
      <sz val="11"/>
      <color theme="1"/>
      <name val="Arial"/>
      <family val="0"/>
      <charset val="1"/>
    </font>
    <font>
      <b val="true"/>
      <sz val="15"/>
      <color rgb="FF3B5998"/>
      <name val="Arial"/>
      <family val="0"/>
      <charset val="1"/>
    </font>
    <font>
      <b val="true"/>
      <sz val="15"/>
      <color rgb="FF8B5E3C"/>
      <name val="DejaVu Sans"/>
      <family val="2"/>
    </font>
    <font>
      <sz val="11"/>
      <color rgb="FF333333"/>
      <name val="DejaVu Sans"/>
      <family val="2"/>
    </font>
    <font>
      <sz val="9"/>
      <color rgb="FF7AAB8E"/>
      <name val="DejaVu Sans"/>
      <family val="2"/>
    </font>
    <font>
      <sz val="9"/>
      <color rgb="FF7AAB8E"/>
      <name val="Arial"/>
      <family val="0"/>
      <charset val="1"/>
    </font>
    <font>
      <sz val="11"/>
      <color rgb="FF7AAB8E"/>
      <name val="DejaVu Sans"/>
      <family val="2"/>
    </font>
    <font>
      <b val="true"/>
      <sz val="11"/>
      <color rgb="FF333333"/>
      <name val="Arial"/>
      <family val="0"/>
      <charset val="1"/>
    </font>
    <font>
      <b val="true"/>
      <sz val="14"/>
      <color rgb="FF7030A0"/>
      <name val="DejaVu Sans"/>
      <family val="2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sz val="11"/>
      <name val="Arial"/>
      <family val="0"/>
      <charset val="1"/>
    </font>
    <font>
      <sz val="11"/>
      <name val="DejaVu Sans"/>
      <family val="2"/>
    </font>
    <font>
      <sz val="14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666666"/>
      <name val="DejaVu Sans"/>
      <family val="2"/>
    </font>
    <font>
      <b val="true"/>
      <sz val="11"/>
      <color rgb="FF7030A0"/>
      <name val="DejaVu Sans"/>
      <family val="2"/>
    </font>
    <font>
      <b val="true"/>
      <sz val="11"/>
      <color rgb="FF7030A0"/>
      <name val="Arial"/>
      <family val="0"/>
      <charset val="1"/>
    </font>
    <font>
      <sz val="11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B5998"/>
        <bgColor rgb="FF666666"/>
      </patternFill>
    </fill>
    <fill>
      <patternFill patternType="solid">
        <fgColor rgb="FFFFF3CD"/>
        <bgColor rgb="FFF0F0F0"/>
      </patternFill>
    </fill>
    <fill>
      <patternFill patternType="solid">
        <fgColor rgb="FFF0F0F0"/>
        <bgColor rgb="FFE8F5E9"/>
      </patternFill>
    </fill>
    <fill>
      <patternFill patternType="solid">
        <fgColor rgb="FFE8F5E9"/>
        <bgColor rgb="FFF0F0F0"/>
      </patternFill>
    </fill>
    <fill>
      <patternFill patternType="solid">
        <fgColor rgb="FFE3EBF5"/>
        <bgColor rgb="FFF0F0F0"/>
      </patternFill>
    </fill>
    <fill>
      <patternFill patternType="solid">
        <fgColor rgb="FF4A7C59"/>
        <bgColor rgb="FF666666"/>
      </patternFill>
    </fill>
    <fill>
      <patternFill patternType="solid">
        <fgColor rgb="FF8B5E3C"/>
        <bgColor rgb="FF666666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medium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3C"/>
      <rgbColor rgb="FF800080"/>
      <rgbColor rgb="FF008080"/>
      <rgbColor rgb="FFC0C0C0"/>
      <rgbColor rgb="FF7AAB8E"/>
      <rgbColor rgb="FFAAAAAA"/>
      <rgbColor rgb="FF7030A0"/>
      <rgbColor rgb="FFFFF3C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BF5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A7C59"/>
      <rgbColor rgb="FF003300"/>
      <rgbColor rgb="FF333300"/>
      <rgbColor rgb="FF993300"/>
      <rgbColor rgb="FF993366"/>
      <rgbColor rgb="FF3B599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3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3" t="s">
        <v>11</v>
      </c>
    </row>
    <row r="4" customFormat="false" ht="27.75" hidden="false" customHeight="true" outlineLevel="0" collapsed="false">
      <c r="A4" s="5" t="s">
        <v>12</v>
      </c>
      <c r="B4" s="6"/>
      <c r="C4" s="7"/>
      <c r="D4" s="7"/>
      <c r="E4" s="8" t="str">
        <f aca="false">IF(AND(C4&lt;&gt;"",D4&lt;&gt;""),C4*D4,"")</f>
        <v/>
      </c>
      <c r="F4" s="9" t="n">
        <f aca="false">SUMIF('장비구매 희망목록'!A:A,A4,'장비구매 희망목록'!I:I)</f>
        <v>0</v>
      </c>
      <c r="G4" s="10"/>
      <c r="H4" s="10"/>
      <c r="I4" s="6"/>
      <c r="J4" s="11"/>
    </row>
    <row r="5" customFormat="false" ht="27.75" hidden="false" customHeight="true" outlineLevel="0" collapsed="false">
      <c r="A5" s="5" t="s">
        <v>13</v>
      </c>
      <c r="B5" s="6"/>
      <c r="C5" s="7"/>
      <c r="D5" s="7"/>
      <c r="E5" s="8" t="str">
        <f aca="false">IF(AND(C5&lt;&gt;"",D5&lt;&gt;""),C5*D5,"")</f>
        <v/>
      </c>
      <c r="F5" s="9" t="n">
        <f aca="false">SUMIF('장비구매 희망목록'!A:A,A5,'장비구매 희망목록'!I:I)</f>
        <v>0</v>
      </c>
      <c r="G5" s="10"/>
      <c r="H5" s="10"/>
      <c r="I5" s="6"/>
      <c r="J5" s="11"/>
    </row>
    <row r="6" customFormat="false" ht="27.75" hidden="false" customHeight="true" outlineLevel="0" collapsed="false">
      <c r="A6" s="5" t="s">
        <v>14</v>
      </c>
      <c r="B6" s="6"/>
      <c r="C6" s="7"/>
      <c r="D6" s="7"/>
      <c r="E6" s="8" t="str">
        <f aca="false">IF(AND(C6&lt;&gt;"",D6&lt;&gt;""),C6*D6,"")</f>
        <v/>
      </c>
      <c r="F6" s="9" t="n">
        <f aca="false">SUMIF('장비구매 희망목록'!A:A,A6,'장비구매 희망목록'!I:I)</f>
        <v>0</v>
      </c>
      <c r="G6" s="10"/>
      <c r="H6" s="10"/>
      <c r="I6" s="6"/>
      <c r="J6" s="11"/>
    </row>
    <row r="7" customFormat="false" ht="27.75" hidden="false" customHeight="true" outlineLevel="0" collapsed="false">
      <c r="A7" s="5" t="s">
        <v>15</v>
      </c>
      <c r="B7" s="6"/>
      <c r="C7" s="7"/>
      <c r="D7" s="7"/>
      <c r="E7" s="8" t="str">
        <f aca="false">IF(AND(C7&lt;&gt;"",D7&lt;&gt;""),C7*D7,"")</f>
        <v/>
      </c>
      <c r="F7" s="9" t="n">
        <f aca="false">SUMIF('장비구매 희망목록'!A:A,A7,'장비구매 희망목록'!I:I)</f>
        <v>0</v>
      </c>
      <c r="G7" s="10"/>
      <c r="H7" s="10"/>
      <c r="I7" s="6"/>
      <c r="J7" s="11"/>
    </row>
    <row r="8" customFormat="false" ht="27.75" hidden="false" customHeight="true" outlineLevel="0" collapsed="false">
      <c r="A8" s="5" t="s">
        <v>16</v>
      </c>
      <c r="B8" s="6"/>
      <c r="C8" s="7"/>
      <c r="D8" s="7"/>
      <c r="E8" s="8" t="str">
        <f aca="false">IF(AND(C8&lt;&gt;"",D8&lt;&gt;""),C8*D8,"")</f>
        <v/>
      </c>
      <c r="F8" s="9" t="n">
        <f aca="false">SUMIF('장비구매 희망목록'!A:A,A8,'장비구매 희망목록'!I:I)</f>
        <v>0</v>
      </c>
      <c r="G8" s="10"/>
      <c r="H8" s="10"/>
      <c r="I8" s="6"/>
      <c r="J8" s="11"/>
    </row>
    <row r="9" customFormat="false" ht="27.75" hidden="false" customHeight="true" outlineLevel="0" collapsed="false">
      <c r="A9" s="5" t="s">
        <v>17</v>
      </c>
      <c r="B9" s="6"/>
      <c r="C9" s="7"/>
      <c r="D9" s="7"/>
      <c r="E9" s="8" t="str">
        <f aca="false">IF(AND(C9&lt;&gt;"",D9&lt;&gt;""),C9*D9,"")</f>
        <v/>
      </c>
      <c r="F9" s="9" t="n">
        <f aca="false">SUMIF('장비구매 희망목록'!A:A,A9,'장비구매 희망목록'!I:I)</f>
        <v>0</v>
      </c>
      <c r="G9" s="10"/>
      <c r="H9" s="10"/>
      <c r="I9" s="6"/>
      <c r="J9" s="11"/>
    </row>
    <row r="10" customFormat="false" ht="27.75" hidden="false" customHeight="true" outlineLevel="0" collapsed="false">
      <c r="A10" s="5" t="s">
        <v>18</v>
      </c>
      <c r="B10" s="6"/>
      <c r="C10" s="7"/>
      <c r="D10" s="7"/>
      <c r="E10" s="8" t="str">
        <f aca="false">IF(AND(C10&lt;&gt;"",D10&lt;&gt;""),C10*D10,"")</f>
        <v/>
      </c>
      <c r="F10" s="9" t="n">
        <f aca="false">SUMIF('장비구매 희망목록'!A:A,A10,'장비구매 희망목록'!I:I)</f>
        <v>0</v>
      </c>
      <c r="G10" s="10"/>
      <c r="H10" s="10"/>
      <c r="I10" s="6"/>
      <c r="J10" s="11"/>
    </row>
    <row r="11" customFormat="false" ht="27.75" hidden="false" customHeight="true" outlineLevel="0" collapsed="false">
      <c r="A11" s="5" t="s">
        <v>19</v>
      </c>
      <c r="B11" s="6"/>
      <c r="C11" s="7"/>
      <c r="D11" s="7"/>
      <c r="E11" s="8" t="str">
        <f aca="false">IF(AND(C11&lt;&gt;"",D11&lt;&gt;""),C11*D11,"")</f>
        <v/>
      </c>
      <c r="F11" s="9" t="n">
        <f aca="false">SUMIF('장비구매 희망목록'!A:A,A11,'장비구매 희망목록'!I:I)</f>
        <v>0</v>
      </c>
      <c r="G11" s="10"/>
      <c r="H11" s="10"/>
      <c r="I11" s="6"/>
      <c r="J11" s="11"/>
    </row>
    <row r="12" customFormat="false" ht="27.75" hidden="false" customHeight="true" outlineLevel="0" collapsed="false">
      <c r="A12" s="5" t="s">
        <v>20</v>
      </c>
      <c r="B12" s="6"/>
      <c r="C12" s="7"/>
      <c r="D12" s="7"/>
      <c r="E12" s="8" t="str">
        <f aca="false">IF(AND(C12&lt;&gt;"",D12&lt;&gt;""),C12*D12,"")</f>
        <v/>
      </c>
      <c r="F12" s="9" t="n">
        <f aca="false">SUMIF('장비구매 희망목록'!A:A,A12,'장비구매 희망목록'!I:I)</f>
        <v>0</v>
      </c>
      <c r="G12" s="10"/>
      <c r="H12" s="10"/>
      <c r="I12" s="6"/>
      <c r="J12" s="11"/>
    </row>
    <row r="13" customFormat="false" ht="27.75" hidden="false" customHeight="true" outlineLevel="0" collapsed="false">
      <c r="A13" s="5" t="s">
        <v>21</v>
      </c>
      <c r="B13" s="6"/>
      <c r="C13" s="7"/>
      <c r="D13" s="7"/>
      <c r="E13" s="8" t="str">
        <f aca="false">IF(AND(C13&lt;&gt;"",D13&lt;&gt;""),C13*D13,"")</f>
        <v/>
      </c>
      <c r="F13" s="9" t="n">
        <f aca="false">SUMIF('장비구매 희망목록'!A:A,A13,'장비구매 희망목록'!I:I)</f>
        <v>0</v>
      </c>
      <c r="G13" s="10"/>
      <c r="H13" s="10"/>
      <c r="I13" s="6"/>
      <c r="J13" s="11"/>
    </row>
    <row r="14" customFormat="false" ht="27.75" hidden="false" customHeight="true" outlineLevel="0" collapsed="false">
      <c r="A14" s="5" t="s">
        <v>22</v>
      </c>
      <c r="B14" s="6"/>
      <c r="C14" s="7"/>
      <c r="D14" s="7"/>
      <c r="E14" s="8" t="str">
        <f aca="false">IF(AND(C14&lt;&gt;"",D14&lt;&gt;""),C14*D14,"")</f>
        <v/>
      </c>
      <c r="F14" s="9" t="n">
        <f aca="false">SUMIF('장비구매 희망목록'!A:A,A14,'장비구매 희망목록'!I:I)</f>
        <v>0</v>
      </c>
      <c r="G14" s="10"/>
      <c r="H14" s="10"/>
      <c r="I14" s="6"/>
      <c r="J14" s="11"/>
    </row>
    <row r="15" customFormat="false" ht="27.75" hidden="false" customHeight="true" outlineLevel="0" collapsed="false">
      <c r="A15" s="12" t="s">
        <v>23</v>
      </c>
      <c r="B15" s="13"/>
      <c r="C15" s="14"/>
      <c r="D15" s="14"/>
      <c r="E15" s="8" t="str">
        <f aca="false">IF(AND(C15&lt;&gt;"",D15&lt;&gt;""),C15*D15,"")</f>
        <v/>
      </c>
      <c r="F15" s="9" t="n">
        <f aca="false">SUMIF('장비구매 희망목록'!A:A,A15,'장비구매 희망목록'!I:I)</f>
        <v>0</v>
      </c>
      <c r="G15" s="15"/>
      <c r="H15" s="15"/>
      <c r="I15" s="13"/>
      <c r="J15" s="11"/>
    </row>
    <row r="16" customFormat="false" ht="15" hidden="false" customHeight="false" outlineLevel="0" collapsed="false">
      <c r="A16" s="16" t="s">
        <v>24</v>
      </c>
      <c r="B16" s="16"/>
      <c r="C16" s="17" t="n">
        <f aca="false">SUM(C4:C15)</f>
        <v>0</v>
      </c>
      <c r="D16" s="16"/>
      <c r="E16" s="17" t="n">
        <f aca="false">SUM(E4:E15)</f>
        <v>0</v>
      </c>
      <c r="F16" s="17" t="n">
        <f aca="false">SUM(F4:F15)</f>
        <v>0</v>
      </c>
      <c r="G16" s="16"/>
      <c r="H16" s="16"/>
      <c r="I16" s="16"/>
      <c r="J16" s="16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B4:B15" type="list">
      <formula1>"온라인,오프라인,MRI,기타"</formula1>
      <formula2>0</formula2>
    </dataValidation>
    <dataValidation allowBlank="true" errorStyle="stop" operator="between" showDropDown="false" showErrorMessage="false" showInputMessage="false" sqref="I4:I1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8" t="s">
        <v>25</v>
      </c>
      <c r="B1" s="18"/>
      <c r="C1" s="18"/>
      <c r="D1" s="18"/>
      <c r="E1" s="18"/>
      <c r="F1" s="18"/>
      <c r="G1" s="18"/>
      <c r="H1" s="18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19" t="s">
        <v>2</v>
      </c>
      <c r="B3" s="19" t="s">
        <v>3</v>
      </c>
      <c r="C3" s="19" t="s">
        <v>26</v>
      </c>
      <c r="D3" s="19" t="s">
        <v>27</v>
      </c>
      <c r="E3" s="20" t="s">
        <v>28</v>
      </c>
      <c r="F3" s="19" t="s">
        <v>29</v>
      </c>
      <c r="G3" s="19" t="s">
        <v>30</v>
      </c>
      <c r="H3" s="19" t="s">
        <v>11</v>
      </c>
    </row>
    <row r="4" customFormat="false" ht="27.75" hidden="false" customHeight="true" outlineLevel="0" collapsed="false">
      <c r="A4" s="6"/>
      <c r="B4" s="6"/>
      <c r="C4" s="21"/>
      <c r="D4" s="7"/>
      <c r="E4" s="7"/>
      <c r="F4" s="8" t="str">
        <f aca="false">IF(AND(D4&lt;&gt;"",E4&lt;&gt;""),D4*E4,"")</f>
        <v/>
      </c>
      <c r="G4" s="10"/>
      <c r="H4" s="11"/>
    </row>
    <row r="5" customFormat="false" ht="27.75" hidden="false" customHeight="true" outlineLevel="0" collapsed="false">
      <c r="A5" s="6"/>
      <c r="B5" s="6"/>
      <c r="C5" s="21"/>
      <c r="D5" s="7"/>
      <c r="E5" s="7"/>
      <c r="F5" s="8" t="str">
        <f aca="false">IF(AND(D5&lt;&gt;"",E5&lt;&gt;""),D5*E5,"")</f>
        <v/>
      </c>
      <c r="G5" s="10"/>
      <c r="H5" s="11"/>
    </row>
    <row r="6" customFormat="false" ht="27.75" hidden="false" customHeight="true" outlineLevel="0" collapsed="false">
      <c r="A6" s="6"/>
      <c r="B6" s="6"/>
      <c r="C6" s="21"/>
      <c r="D6" s="7"/>
      <c r="E6" s="7"/>
      <c r="F6" s="8" t="str">
        <f aca="false">IF(AND(D6&lt;&gt;"",E6&lt;&gt;""),D6*E6,"")</f>
        <v/>
      </c>
      <c r="G6" s="10"/>
      <c r="H6" s="11"/>
    </row>
    <row r="7" customFormat="false" ht="27.75" hidden="false" customHeight="true" outlineLevel="0" collapsed="false">
      <c r="A7" s="6"/>
      <c r="B7" s="6"/>
      <c r="C7" s="21"/>
      <c r="D7" s="7"/>
      <c r="E7" s="7"/>
      <c r="F7" s="8" t="str">
        <f aca="false">IF(AND(D7&lt;&gt;"",E7&lt;&gt;""),D7*E7,"")</f>
        <v/>
      </c>
      <c r="G7" s="10"/>
      <c r="H7" s="11"/>
    </row>
    <row r="8" customFormat="false" ht="27.75" hidden="false" customHeight="true" outlineLevel="0" collapsed="false">
      <c r="A8" s="6"/>
      <c r="B8" s="6"/>
      <c r="C8" s="21"/>
      <c r="D8" s="7"/>
      <c r="E8" s="7"/>
      <c r="F8" s="8" t="str">
        <f aca="false">IF(AND(D8&lt;&gt;"",E8&lt;&gt;""),D8*E8,"")</f>
        <v/>
      </c>
      <c r="G8" s="10"/>
      <c r="H8" s="11"/>
    </row>
    <row r="9" customFormat="false" ht="27.75" hidden="false" customHeight="true" outlineLevel="0" collapsed="false">
      <c r="A9" s="6"/>
      <c r="B9" s="6"/>
      <c r="C9" s="21"/>
      <c r="D9" s="7"/>
      <c r="E9" s="7"/>
      <c r="F9" s="8" t="str">
        <f aca="false">IF(AND(D9&lt;&gt;"",E9&lt;&gt;""),D9*E9,"")</f>
        <v/>
      </c>
      <c r="G9" s="10"/>
      <c r="H9" s="11"/>
    </row>
    <row r="10" customFormat="false" ht="27.75" hidden="false" customHeight="true" outlineLevel="0" collapsed="false">
      <c r="A10" s="6"/>
      <c r="B10" s="6"/>
      <c r="C10" s="21"/>
      <c r="D10" s="7"/>
      <c r="E10" s="7"/>
      <c r="F10" s="8" t="str">
        <f aca="false">IF(AND(D10&lt;&gt;"",E10&lt;&gt;""),D10*E10,"")</f>
        <v/>
      </c>
      <c r="G10" s="10"/>
      <c r="H10" s="11"/>
    </row>
    <row r="11" customFormat="false" ht="27.75" hidden="false" customHeight="true" outlineLevel="0" collapsed="false">
      <c r="A11" s="6"/>
      <c r="B11" s="6"/>
      <c r="C11" s="21"/>
      <c r="D11" s="7"/>
      <c r="E11" s="7"/>
      <c r="F11" s="8" t="str">
        <f aca="false">IF(AND(D11&lt;&gt;"",E11&lt;&gt;""),D11*E11,"")</f>
        <v/>
      </c>
      <c r="G11" s="10"/>
      <c r="H11" s="11"/>
    </row>
    <row r="12" customFormat="false" ht="27.75" hidden="false" customHeight="true" outlineLevel="0" collapsed="false">
      <c r="A12" s="6"/>
      <c r="B12" s="6"/>
      <c r="C12" s="21"/>
      <c r="D12" s="7"/>
      <c r="E12" s="7"/>
      <c r="F12" s="8" t="str">
        <f aca="false">IF(AND(D12&lt;&gt;"",E12&lt;&gt;""),D12*E12,"")</f>
        <v/>
      </c>
      <c r="G12" s="10"/>
      <c r="H12" s="11"/>
    </row>
    <row r="13" customFormat="false" ht="27.75" hidden="false" customHeight="true" outlineLevel="0" collapsed="false">
      <c r="A13" s="6"/>
      <c r="B13" s="6"/>
      <c r="C13" s="21"/>
      <c r="D13" s="7"/>
      <c r="E13" s="7"/>
      <c r="F13" s="8" t="str">
        <f aca="false">IF(AND(D13&lt;&gt;"",E13&lt;&gt;""),D13*E13,"")</f>
        <v/>
      </c>
      <c r="G13" s="10"/>
      <c r="H13" s="11"/>
    </row>
    <row r="14" customFormat="false" ht="27.75" hidden="false" customHeight="true" outlineLevel="0" collapsed="false">
      <c r="A14" s="6"/>
      <c r="B14" s="6"/>
      <c r="C14" s="21"/>
      <c r="D14" s="7"/>
      <c r="E14" s="7"/>
      <c r="F14" s="8" t="str">
        <f aca="false">IF(AND(D14&lt;&gt;"",E14&lt;&gt;""),D14*E14,"")</f>
        <v/>
      </c>
      <c r="G14" s="10"/>
      <c r="H14" s="11"/>
    </row>
    <row r="15" customFormat="false" ht="27.75" hidden="false" customHeight="true" outlineLevel="0" collapsed="false">
      <c r="A15" s="6"/>
      <c r="B15" s="6"/>
      <c r="C15" s="21"/>
      <c r="D15" s="7"/>
      <c r="E15" s="7"/>
      <c r="F15" s="8" t="str">
        <f aca="false">IF(AND(D15&lt;&gt;"",E15&lt;&gt;""),D15*E15,"")</f>
        <v/>
      </c>
      <c r="G15" s="10"/>
      <c r="H15" s="11"/>
    </row>
    <row r="16" customFormat="false" ht="27.75" hidden="false" customHeight="true" outlineLevel="0" collapsed="false">
      <c r="A16" s="6"/>
      <c r="B16" s="6"/>
      <c r="C16" s="21"/>
      <c r="D16" s="7"/>
      <c r="E16" s="7"/>
      <c r="F16" s="8" t="str">
        <f aca="false">IF(AND(D16&lt;&gt;"",E16&lt;&gt;""),D16*E16,"")</f>
        <v/>
      </c>
      <c r="G16" s="10"/>
      <c r="H16" s="11"/>
    </row>
    <row r="17" customFormat="false" ht="27.75" hidden="false" customHeight="true" outlineLevel="0" collapsed="false">
      <c r="A17" s="6"/>
      <c r="B17" s="6"/>
      <c r="C17" s="21"/>
      <c r="D17" s="7"/>
      <c r="E17" s="7"/>
      <c r="F17" s="8" t="str">
        <f aca="false">IF(AND(D17&lt;&gt;"",E17&lt;&gt;""),D17*E17,"")</f>
        <v/>
      </c>
      <c r="G17" s="10"/>
      <c r="H17" s="11"/>
    </row>
    <row r="18" customFormat="false" ht="27.75" hidden="false" customHeight="true" outlineLevel="0" collapsed="false">
      <c r="A18" s="6"/>
      <c r="B18" s="6"/>
      <c r="C18" s="21"/>
      <c r="D18" s="7"/>
      <c r="E18" s="7"/>
      <c r="F18" s="8" t="str">
        <f aca="false">IF(AND(D18&lt;&gt;"",E18&lt;&gt;""),D18*E18,"")</f>
        <v/>
      </c>
      <c r="G18" s="10"/>
      <c r="H18" s="11"/>
    </row>
    <row r="19" customFormat="false" ht="27.75" hidden="false" customHeight="true" outlineLevel="0" collapsed="false">
      <c r="A19" s="6"/>
      <c r="B19" s="6"/>
      <c r="C19" s="21"/>
      <c r="D19" s="7"/>
      <c r="E19" s="7"/>
      <c r="F19" s="8" t="str">
        <f aca="false">IF(AND(D19&lt;&gt;"",E19&lt;&gt;""),D19*E19,"")</f>
        <v/>
      </c>
      <c r="G19" s="10"/>
      <c r="H19" s="11"/>
    </row>
    <row r="20" customFormat="false" ht="27.75" hidden="false" customHeight="true" outlineLevel="0" collapsed="false">
      <c r="A20" s="6"/>
      <c r="B20" s="6"/>
      <c r="C20" s="21"/>
      <c r="D20" s="7"/>
      <c r="E20" s="7"/>
      <c r="F20" s="8" t="str">
        <f aca="false">IF(AND(D20&lt;&gt;"",E20&lt;&gt;""),D20*E20,"")</f>
        <v/>
      </c>
      <c r="G20" s="10"/>
      <c r="H20" s="11"/>
    </row>
    <row r="21" customFormat="false" ht="27.75" hidden="false" customHeight="true" outlineLevel="0" collapsed="false">
      <c r="A21" s="6"/>
      <c r="B21" s="6"/>
      <c r="C21" s="21"/>
      <c r="D21" s="7"/>
      <c r="E21" s="7"/>
      <c r="F21" s="8" t="str">
        <f aca="false">IF(AND(D21&lt;&gt;"",E21&lt;&gt;""),D21*E21,"")</f>
        <v/>
      </c>
      <c r="G21" s="10"/>
      <c r="H21" s="11"/>
    </row>
    <row r="22" customFormat="false" ht="27.75" hidden="false" customHeight="true" outlineLevel="0" collapsed="false">
      <c r="A22" s="6"/>
      <c r="B22" s="6"/>
      <c r="C22" s="21"/>
      <c r="D22" s="7"/>
      <c r="E22" s="7"/>
      <c r="F22" s="8" t="str">
        <f aca="false">IF(AND(D22&lt;&gt;"",E22&lt;&gt;""),D22*E22,"")</f>
        <v/>
      </c>
      <c r="G22" s="10"/>
      <c r="H22" s="11"/>
    </row>
    <row r="23" customFormat="false" ht="27.75" hidden="false" customHeight="true" outlineLevel="0" collapsed="false">
      <c r="A23" s="6"/>
      <c r="B23" s="6"/>
      <c r="C23" s="21"/>
      <c r="D23" s="7"/>
      <c r="E23" s="7"/>
      <c r="F23" s="8" t="str">
        <f aca="false">IF(AND(D23&lt;&gt;"",E23&lt;&gt;""),D23*E23,"")</f>
        <v/>
      </c>
      <c r="G23" s="10"/>
      <c r="H23" s="11"/>
    </row>
    <row r="24" customFormat="false" ht="27.75" hidden="false" customHeight="true" outlineLevel="0" collapsed="false">
      <c r="A24" s="6"/>
      <c r="B24" s="6"/>
      <c r="C24" s="21"/>
      <c r="D24" s="7"/>
      <c r="E24" s="7"/>
      <c r="F24" s="8" t="str">
        <f aca="false">IF(AND(D24&lt;&gt;"",E24&lt;&gt;""),D24*E24,"")</f>
        <v/>
      </c>
      <c r="G24" s="10"/>
      <c r="H24" s="11"/>
    </row>
    <row r="25" customFormat="false" ht="27.75" hidden="false" customHeight="true" outlineLevel="0" collapsed="false">
      <c r="A25" s="6"/>
      <c r="B25" s="6"/>
      <c r="C25" s="21"/>
      <c r="D25" s="7"/>
      <c r="E25" s="7"/>
      <c r="F25" s="8" t="str">
        <f aca="false">IF(AND(D25&lt;&gt;"",E25&lt;&gt;""),D25*E25,"")</f>
        <v/>
      </c>
      <c r="G25" s="10"/>
      <c r="H25" s="11"/>
    </row>
    <row r="26" customFormat="false" ht="27.75" hidden="false" customHeight="true" outlineLevel="0" collapsed="false">
      <c r="A26" s="6"/>
      <c r="B26" s="6"/>
      <c r="C26" s="21"/>
      <c r="D26" s="7"/>
      <c r="E26" s="7"/>
      <c r="F26" s="8" t="str">
        <f aca="false">IF(AND(D26&lt;&gt;"",E26&lt;&gt;""),D26*E26,"")</f>
        <v/>
      </c>
      <c r="G26" s="10"/>
      <c r="H26" s="11"/>
    </row>
    <row r="27" customFormat="false" ht="27.75" hidden="false" customHeight="true" outlineLevel="0" collapsed="false">
      <c r="A27" s="6"/>
      <c r="B27" s="6"/>
      <c r="C27" s="21"/>
      <c r="D27" s="7"/>
      <c r="E27" s="7"/>
      <c r="F27" s="8" t="str">
        <f aca="false">IF(AND(D27&lt;&gt;"",E27&lt;&gt;""),D27*E27,"")</f>
        <v/>
      </c>
      <c r="G27" s="10"/>
      <c r="H27" s="11"/>
    </row>
    <row r="28" customFormat="false" ht="15" hidden="false" customHeight="false" outlineLevel="0" collapsed="false">
      <c r="A28" s="22" t="s">
        <v>24</v>
      </c>
      <c r="B28" s="23"/>
      <c r="C28" s="23"/>
      <c r="D28" s="23"/>
      <c r="E28" s="23"/>
      <c r="F28" s="24" t="n">
        <f aca="false">SUM(F4:F27)</f>
        <v>0</v>
      </c>
      <c r="G28" s="23"/>
      <c r="H28" s="23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A4:A27" type="list">
      <formula1>"임재섭,최민진,여민수,박준오,이보연,김정예,류주형,정새미,김성제,조수영,이보현,(공용)"</formula1>
      <formula2>0</formula2>
    </dataValidation>
    <dataValidation allowBlank="true" errorStyle="stop" operator="between" showDropDown="false" showErrorMessage="false" showInputMessage="false" sqref="B4:B27" type="list">
      <formula1>"온라인,오프라인,MRI,기타"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4.5" hidden="false" customHeight="true" outlineLevel="0" collapsed="false">
      <c r="A3" s="3" t="s">
        <v>2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11</v>
      </c>
      <c r="I3" s="3" t="s">
        <v>38</v>
      </c>
    </row>
    <row r="4" customFormat="false" ht="27.75" hidden="false" customHeight="true" outlineLevel="0" collapsed="false">
      <c r="A4" s="6"/>
      <c r="B4" s="6"/>
      <c r="C4" s="21"/>
      <c r="D4" s="21"/>
      <c r="E4" s="21"/>
      <c r="F4" s="7"/>
      <c r="G4" s="7"/>
      <c r="H4" s="11"/>
      <c r="I4" s="8" t="str">
        <f aca="false">IF(AND(F4&lt;&gt;"",G4&lt;&gt;""),F4*G4,"")</f>
        <v/>
      </c>
    </row>
    <row r="5" customFormat="false" ht="27.75" hidden="false" customHeight="true" outlineLevel="0" collapsed="false">
      <c r="A5" s="6"/>
      <c r="B5" s="6"/>
      <c r="C5" s="21"/>
      <c r="D5" s="21"/>
      <c r="E5" s="21"/>
      <c r="F5" s="7"/>
      <c r="G5" s="7"/>
      <c r="H5" s="11"/>
      <c r="I5" s="8" t="str">
        <f aca="false">IF(AND(F5&lt;&gt;"",G5&lt;&gt;""),F5*G5,"")</f>
        <v/>
      </c>
    </row>
    <row r="6" customFormat="false" ht="27.75" hidden="false" customHeight="true" outlineLevel="0" collapsed="false">
      <c r="A6" s="6"/>
      <c r="B6" s="6"/>
      <c r="C6" s="21"/>
      <c r="D6" s="21"/>
      <c r="E6" s="21"/>
      <c r="F6" s="7"/>
      <c r="G6" s="7"/>
      <c r="H6" s="11"/>
      <c r="I6" s="8" t="str">
        <f aca="false">IF(AND(F6&lt;&gt;"",G6&lt;&gt;""),F6*G6,"")</f>
        <v/>
      </c>
    </row>
    <row r="7" customFormat="false" ht="27.75" hidden="false" customHeight="true" outlineLevel="0" collapsed="false">
      <c r="A7" s="6"/>
      <c r="B7" s="6"/>
      <c r="C7" s="21"/>
      <c r="D7" s="21"/>
      <c r="E7" s="21"/>
      <c r="F7" s="7"/>
      <c r="G7" s="7"/>
      <c r="H7" s="11"/>
      <c r="I7" s="8" t="str">
        <f aca="false">IF(AND(F7&lt;&gt;"",G7&lt;&gt;""),F7*G7,"")</f>
        <v/>
      </c>
    </row>
    <row r="8" customFormat="false" ht="27.75" hidden="false" customHeight="true" outlineLevel="0" collapsed="false">
      <c r="A8" s="6"/>
      <c r="B8" s="6"/>
      <c r="C8" s="21"/>
      <c r="D8" s="21"/>
      <c r="E8" s="21"/>
      <c r="F8" s="7"/>
      <c r="G8" s="7"/>
      <c r="H8" s="11"/>
      <c r="I8" s="8" t="str">
        <f aca="false">IF(AND(F8&lt;&gt;"",G8&lt;&gt;""),F8*G8,"")</f>
        <v/>
      </c>
    </row>
    <row r="9" customFormat="false" ht="27.75" hidden="false" customHeight="true" outlineLevel="0" collapsed="false">
      <c r="A9" s="6"/>
      <c r="B9" s="6"/>
      <c r="C9" s="21"/>
      <c r="D9" s="21"/>
      <c r="E9" s="21"/>
      <c r="F9" s="7"/>
      <c r="G9" s="7"/>
      <c r="H9" s="11"/>
      <c r="I9" s="8" t="str">
        <f aca="false">IF(AND(F9&lt;&gt;"",G9&lt;&gt;""),F9*G9,"")</f>
        <v/>
      </c>
    </row>
    <row r="10" customFormat="false" ht="27.75" hidden="false" customHeight="true" outlineLevel="0" collapsed="false">
      <c r="A10" s="6"/>
      <c r="B10" s="6"/>
      <c r="C10" s="21"/>
      <c r="D10" s="21"/>
      <c r="E10" s="21"/>
      <c r="F10" s="7"/>
      <c r="G10" s="7"/>
      <c r="H10" s="11"/>
      <c r="I10" s="8" t="str">
        <f aca="false">IF(AND(F10&lt;&gt;"",G10&lt;&gt;""),F10*G10,"")</f>
        <v/>
      </c>
    </row>
    <row r="11" customFormat="false" ht="27.75" hidden="false" customHeight="true" outlineLevel="0" collapsed="false">
      <c r="A11" s="6"/>
      <c r="B11" s="6"/>
      <c r="C11" s="21"/>
      <c r="D11" s="21"/>
      <c r="E11" s="21"/>
      <c r="F11" s="7"/>
      <c r="G11" s="7"/>
      <c r="H11" s="11"/>
      <c r="I11" s="8" t="str">
        <f aca="false">IF(AND(F11&lt;&gt;"",G11&lt;&gt;""),F11*G11,"")</f>
        <v/>
      </c>
    </row>
    <row r="12" customFormat="false" ht="27.75" hidden="false" customHeight="true" outlineLevel="0" collapsed="false">
      <c r="A12" s="6"/>
      <c r="B12" s="6"/>
      <c r="C12" s="21"/>
      <c r="D12" s="21"/>
      <c r="E12" s="21"/>
      <c r="F12" s="7"/>
      <c r="G12" s="7"/>
      <c r="H12" s="11"/>
      <c r="I12" s="8" t="str">
        <f aca="false">IF(AND(F12&lt;&gt;"",G12&lt;&gt;""),F12*G12,"")</f>
        <v/>
      </c>
    </row>
    <row r="13" customFormat="false" ht="27.75" hidden="false" customHeight="true" outlineLevel="0" collapsed="false">
      <c r="A13" s="6"/>
      <c r="B13" s="6"/>
      <c r="C13" s="21"/>
      <c r="D13" s="21"/>
      <c r="E13" s="21"/>
      <c r="F13" s="7"/>
      <c r="G13" s="7"/>
      <c r="H13" s="11"/>
      <c r="I13" s="8" t="str">
        <f aca="false">IF(AND(F13&lt;&gt;"",G13&lt;&gt;""),F13*G13,"")</f>
        <v/>
      </c>
    </row>
    <row r="14" customFormat="false" ht="27.75" hidden="false" customHeight="true" outlineLevel="0" collapsed="false">
      <c r="A14" s="6"/>
      <c r="B14" s="6"/>
      <c r="C14" s="21"/>
      <c r="D14" s="21"/>
      <c r="E14" s="21"/>
      <c r="F14" s="7"/>
      <c r="G14" s="7"/>
      <c r="H14" s="11"/>
      <c r="I14" s="8" t="str">
        <f aca="false">IF(AND(F14&lt;&gt;"",G14&lt;&gt;""),F14*G14,"")</f>
        <v/>
      </c>
    </row>
    <row r="15" customFormat="false" ht="27.75" hidden="false" customHeight="true" outlineLevel="0" collapsed="false">
      <c r="A15" s="6"/>
      <c r="B15" s="6"/>
      <c r="C15" s="21"/>
      <c r="D15" s="21"/>
      <c r="E15" s="21"/>
      <c r="F15" s="7"/>
      <c r="G15" s="7"/>
      <c r="H15" s="11"/>
      <c r="I15" s="8" t="str">
        <f aca="false">IF(AND(F15&lt;&gt;"",G15&lt;&gt;""),F15*G15,"")</f>
        <v/>
      </c>
    </row>
    <row r="16" customFormat="false" ht="27.75" hidden="false" customHeight="true" outlineLevel="0" collapsed="false">
      <c r="A16" s="6"/>
      <c r="B16" s="6"/>
      <c r="C16" s="21"/>
      <c r="D16" s="21"/>
      <c r="E16" s="21"/>
      <c r="F16" s="7"/>
      <c r="G16" s="7"/>
      <c r="H16" s="11"/>
      <c r="I16" s="8" t="str">
        <f aca="false">IF(AND(F16&lt;&gt;"",G16&lt;&gt;""),F16*G16,"")</f>
        <v/>
      </c>
    </row>
    <row r="17" customFormat="false" ht="27.75" hidden="false" customHeight="true" outlineLevel="0" collapsed="false">
      <c r="A17" s="6"/>
      <c r="B17" s="6"/>
      <c r="C17" s="21"/>
      <c r="D17" s="21"/>
      <c r="E17" s="21"/>
      <c r="F17" s="7"/>
      <c r="G17" s="7"/>
      <c r="H17" s="11"/>
      <c r="I17" s="8" t="str">
        <f aca="false">IF(AND(F17&lt;&gt;"",G17&lt;&gt;""),F17*G17,"")</f>
        <v/>
      </c>
    </row>
    <row r="18" customFormat="false" ht="27.75" hidden="false" customHeight="true" outlineLevel="0" collapsed="false">
      <c r="A18" s="6"/>
      <c r="B18" s="6"/>
      <c r="C18" s="21"/>
      <c r="D18" s="21"/>
      <c r="E18" s="21"/>
      <c r="F18" s="7"/>
      <c r="G18" s="7"/>
      <c r="H18" s="11"/>
      <c r="I18" s="8" t="str">
        <f aca="false">IF(AND(F18&lt;&gt;"",G18&lt;&gt;""),F18*G18,"")</f>
        <v/>
      </c>
    </row>
    <row r="19" customFormat="false" ht="27.75" hidden="false" customHeight="true" outlineLevel="0" collapsed="false">
      <c r="A19" s="6"/>
      <c r="B19" s="6"/>
      <c r="C19" s="21"/>
      <c r="D19" s="21"/>
      <c r="E19" s="21"/>
      <c r="F19" s="7"/>
      <c r="G19" s="7"/>
      <c r="H19" s="11"/>
      <c r="I19" s="8" t="str">
        <f aca="false">IF(AND(F19&lt;&gt;"",G19&lt;&gt;""),F19*G19,"")</f>
        <v/>
      </c>
    </row>
    <row r="20" customFormat="false" ht="27.75" hidden="false" customHeight="true" outlineLevel="0" collapsed="false">
      <c r="A20" s="6"/>
      <c r="B20" s="6"/>
      <c r="C20" s="21"/>
      <c r="D20" s="21"/>
      <c r="E20" s="21"/>
      <c r="F20" s="7"/>
      <c r="G20" s="7"/>
      <c r="H20" s="11"/>
      <c r="I20" s="8" t="str">
        <f aca="false">IF(AND(F20&lt;&gt;"",G20&lt;&gt;""),F20*G20,"")</f>
        <v/>
      </c>
    </row>
    <row r="21" customFormat="false" ht="27.75" hidden="false" customHeight="true" outlineLevel="0" collapsed="false">
      <c r="A21" s="6"/>
      <c r="B21" s="6"/>
      <c r="C21" s="21"/>
      <c r="D21" s="21"/>
      <c r="E21" s="21"/>
      <c r="F21" s="7"/>
      <c r="G21" s="7"/>
      <c r="H21" s="11"/>
      <c r="I21" s="8" t="str">
        <f aca="false">IF(AND(F21&lt;&gt;"",G21&lt;&gt;""),F21*G21,"")</f>
        <v/>
      </c>
    </row>
    <row r="22" customFormat="false" ht="27.75" hidden="false" customHeight="true" outlineLevel="0" collapsed="false">
      <c r="A22" s="6"/>
      <c r="B22" s="6"/>
      <c r="C22" s="21"/>
      <c r="D22" s="21"/>
      <c r="E22" s="21"/>
      <c r="F22" s="7"/>
      <c r="G22" s="7"/>
      <c r="H22" s="11"/>
      <c r="I22" s="8" t="str">
        <f aca="false">IF(AND(F22&lt;&gt;"",G22&lt;&gt;""),F22*G22,"")</f>
        <v/>
      </c>
    </row>
    <row r="23" customFormat="false" ht="27.75" hidden="false" customHeight="true" outlineLevel="0" collapsed="false">
      <c r="A23" s="6"/>
      <c r="B23" s="6"/>
      <c r="C23" s="21"/>
      <c r="D23" s="21"/>
      <c r="E23" s="21"/>
      <c r="F23" s="7"/>
      <c r="G23" s="7"/>
      <c r="H23" s="11"/>
      <c r="I23" s="8" t="str">
        <f aca="false">IF(AND(F23&lt;&gt;"",G23&lt;&gt;""),F23*G23,"")</f>
        <v/>
      </c>
    </row>
    <row r="24" customFormat="false" ht="27.75" hidden="false" customHeight="true" outlineLevel="0" collapsed="false">
      <c r="A24" s="6"/>
      <c r="B24" s="6"/>
      <c r="C24" s="21"/>
      <c r="D24" s="21"/>
      <c r="E24" s="21"/>
      <c r="F24" s="7"/>
      <c r="G24" s="7"/>
      <c r="H24" s="11"/>
      <c r="I24" s="8" t="str">
        <f aca="false">IF(AND(F24&lt;&gt;"",G24&lt;&gt;""),F24*G24,"")</f>
        <v/>
      </c>
    </row>
    <row r="25" customFormat="false" ht="27.75" hidden="false" customHeight="true" outlineLevel="0" collapsed="false">
      <c r="A25" s="6"/>
      <c r="B25" s="6"/>
      <c r="C25" s="21"/>
      <c r="D25" s="21"/>
      <c r="E25" s="21"/>
      <c r="F25" s="7"/>
      <c r="G25" s="7"/>
      <c r="H25" s="11"/>
      <c r="I25" s="8" t="str">
        <f aca="false">IF(AND(F25&lt;&gt;"",G25&lt;&gt;""),F25*G25,"")</f>
        <v/>
      </c>
    </row>
    <row r="26" customFormat="false" ht="27.75" hidden="false" customHeight="true" outlineLevel="0" collapsed="false">
      <c r="A26" s="6"/>
      <c r="B26" s="6"/>
      <c r="C26" s="21"/>
      <c r="D26" s="21"/>
      <c r="E26" s="21"/>
      <c r="F26" s="7"/>
      <c r="G26" s="7"/>
      <c r="H26" s="11"/>
      <c r="I26" s="8" t="str">
        <f aca="false">IF(AND(F26&lt;&gt;"",G26&lt;&gt;""),F26*G26,"")</f>
        <v/>
      </c>
    </row>
    <row r="27" customFormat="false" ht="27.75" hidden="false" customHeight="true" outlineLevel="0" collapsed="false">
      <c r="A27" s="6"/>
      <c r="B27" s="6"/>
      <c r="C27" s="21"/>
      <c r="D27" s="21"/>
      <c r="E27" s="21"/>
      <c r="F27" s="7"/>
      <c r="G27" s="7"/>
      <c r="H27" s="11"/>
      <c r="I27" s="8" t="str">
        <f aca="false">IF(AND(F27&lt;&gt;"",G27&lt;&gt;""),F27*G27,"")</f>
        <v/>
      </c>
    </row>
    <row r="28" customFormat="false" ht="27.75" hidden="false" customHeight="true" outlineLevel="0" collapsed="false">
      <c r="A28" s="6"/>
      <c r="B28" s="6"/>
      <c r="C28" s="21"/>
      <c r="D28" s="21"/>
      <c r="E28" s="21"/>
      <c r="F28" s="7"/>
      <c r="G28" s="7"/>
      <c r="H28" s="11"/>
      <c r="I28" s="8" t="str">
        <f aca="false">IF(AND(F28&lt;&gt;"",G28&lt;&gt;""),F28*G28,"")</f>
        <v/>
      </c>
    </row>
    <row r="29" customFormat="false" ht="27.75" hidden="false" customHeight="true" outlineLevel="0" collapsed="false">
      <c r="A29" s="6"/>
      <c r="B29" s="6"/>
      <c r="C29" s="21"/>
      <c r="D29" s="21"/>
      <c r="E29" s="21"/>
      <c r="F29" s="7"/>
      <c r="G29" s="7"/>
      <c r="H29" s="11"/>
      <c r="I29" s="8" t="str">
        <f aca="false">IF(AND(F29&lt;&gt;"",G29&lt;&gt;""),F29*G29,"")</f>
        <v/>
      </c>
    </row>
    <row r="30" customFormat="false" ht="27.75" hidden="false" customHeight="true" outlineLevel="0" collapsed="false">
      <c r="A30" s="6"/>
      <c r="B30" s="6"/>
      <c r="C30" s="21"/>
      <c r="D30" s="21"/>
      <c r="E30" s="21"/>
      <c r="F30" s="7"/>
      <c r="G30" s="7"/>
      <c r="H30" s="11"/>
      <c r="I30" s="8" t="str">
        <f aca="false">IF(AND(F30&lt;&gt;"",G30&lt;&gt;""),F30*G30,"")</f>
        <v/>
      </c>
    </row>
    <row r="31" customFormat="false" ht="27.75" hidden="false" customHeight="true" outlineLevel="0" collapsed="false">
      <c r="A31" s="6"/>
      <c r="B31" s="6"/>
      <c r="C31" s="21"/>
      <c r="D31" s="21"/>
      <c r="E31" s="21"/>
      <c r="F31" s="7"/>
      <c r="G31" s="7"/>
      <c r="H31" s="11"/>
      <c r="I31" s="8" t="str">
        <f aca="false">IF(AND(F31&lt;&gt;"",G31&lt;&gt;""),F31*G31,"")</f>
        <v/>
      </c>
    </row>
    <row r="32" customFormat="false" ht="27.75" hidden="false" customHeight="true" outlineLevel="0" collapsed="false">
      <c r="A32" s="6"/>
      <c r="B32" s="6"/>
      <c r="C32" s="21"/>
      <c r="D32" s="21"/>
      <c r="E32" s="21"/>
      <c r="F32" s="7"/>
      <c r="G32" s="7"/>
      <c r="H32" s="11"/>
      <c r="I32" s="8" t="str">
        <f aca="false">IF(AND(F32&lt;&gt;"",G32&lt;&gt;""),F32*G32,"")</f>
        <v/>
      </c>
    </row>
    <row r="33" customFormat="false" ht="27.75" hidden="false" customHeight="true" outlineLevel="0" collapsed="false">
      <c r="A33" s="6"/>
      <c r="B33" s="6"/>
      <c r="C33" s="21"/>
      <c r="D33" s="21"/>
      <c r="E33" s="21"/>
      <c r="F33" s="7"/>
      <c r="G33" s="7"/>
      <c r="H33" s="11"/>
      <c r="I33" s="8" t="str">
        <f aca="false">IF(AND(F33&lt;&gt;"",G33&lt;&gt;""),F33*G33,"")</f>
        <v/>
      </c>
    </row>
    <row r="34" customFormat="false" ht="27.75" hidden="false" customHeight="true" outlineLevel="0" collapsed="false">
      <c r="A34" s="6"/>
      <c r="B34" s="6"/>
      <c r="C34" s="21"/>
      <c r="D34" s="21"/>
      <c r="E34" s="21"/>
      <c r="F34" s="7"/>
      <c r="G34" s="7"/>
      <c r="H34" s="11"/>
      <c r="I34" s="8" t="str">
        <f aca="false">IF(AND(F34&lt;&gt;"",G34&lt;&gt;""),F34*G34,"")</f>
        <v/>
      </c>
    </row>
    <row r="35" customFormat="false" ht="27.75" hidden="false" customHeight="true" outlineLevel="0" collapsed="false">
      <c r="A35" s="6"/>
      <c r="B35" s="6"/>
      <c r="C35" s="21"/>
      <c r="D35" s="21"/>
      <c r="E35" s="21"/>
      <c r="F35" s="7"/>
      <c r="G35" s="7"/>
      <c r="H35" s="11"/>
      <c r="I35" s="8" t="str">
        <f aca="false">IF(AND(F35&lt;&gt;"",G35&lt;&gt;""),F35*G35,"")</f>
        <v/>
      </c>
    </row>
    <row r="36" customFormat="false" ht="27.75" hidden="false" customHeight="true" outlineLevel="0" collapsed="false">
      <c r="A36" s="6"/>
      <c r="B36" s="6"/>
      <c r="C36" s="21"/>
      <c r="D36" s="21"/>
      <c r="E36" s="21"/>
      <c r="F36" s="7"/>
      <c r="G36" s="7"/>
      <c r="H36" s="11"/>
      <c r="I36" s="8" t="str">
        <f aca="false">IF(AND(F36&lt;&gt;"",G36&lt;&gt;""),F36*G36,"")</f>
        <v/>
      </c>
    </row>
    <row r="37" customFormat="false" ht="27.75" hidden="false" customHeight="true" outlineLevel="0" collapsed="false">
      <c r="A37" s="6"/>
      <c r="B37" s="6"/>
      <c r="C37" s="21"/>
      <c r="D37" s="21"/>
      <c r="E37" s="21"/>
      <c r="F37" s="7"/>
      <c r="G37" s="7"/>
      <c r="H37" s="11"/>
      <c r="I37" s="8" t="str">
        <f aca="false">IF(AND(F37&lt;&gt;"",G37&lt;&gt;""),F37*G37,"")</f>
        <v/>
      </c>
    </row>
    <row r="38" customFormat="false" ht="27.75" hidden="false" customHeight="true" outlineLevel="0" collapsed="false">
      <c r="A38" s="6"/>
      <c r="B38" s="6"/>
      <c r="C38" s="21"/>
      <c r="D38" s="21"/>
      <c r="E38" s="21"/>
      <c r="F38" s="7"/>
      <c r="G38" s="7"/>
      <c r="H38" s="11"/>
      <c r="I38" s="8" t="str">
        <f aca="false">IF(AND(F38&lt;&gt;"",G38&lt;&gt;""),F38*G38,"")</f>
        <v/>
      </c>
    </row>
    <row r="39" customFormat="false" ht="27.75" hidden="false" customHeight="true" outlineLevel="0" collapsed="false">
      <c r="A39" s="6"/>
      <c r="B39" s="6"/>
      <c r="C39" s="21"/>
      <c r="D39" s="21"/>
      <c r="E39" s="21"/>
      <c r="F39" s="7"/>
      <c r="G39" s="7"/>
      <c r="H39" s="11"/>
      <c r="I39" s="8" t="str">
        <f aca="false">IF(AND(F39&lt;&gt;"",G39&lt;&gt;""),F39*G39,"")</f>
        <v/>
      </c>
    </row>
    <row r="40" customFormat="false" ht="27.75" hidden="false" customHeight="true" outlineLevel="0" collapsed="false">
      <c r="A40" s="6"/>
      <c r="B40" s="6"/>
      <c r="C40" s="21"/>
      <c r="D40" s="21"/>
      <c r="E40" s="21"/>
      <c r="F40" s="7"/>
      <c r="G40" s="7"/>
      <c r="H40" s="11"/>
      <c r="I40" s="8" t="str">
        <f aca="false">IF(AND(F40&lt;&gt;"",G40&lt;&gt;""),F40*G40,"")</f>
        <v/>
      </c>
    </row>
    <row r="41" customFormat="false" ht="27.75" hidden="false" customHeight="true" outlineLevel="0" collapsed="false">
      <c r="A41" s="6"/>
      <c r="B41" s="6"/>
      <c r="C41" s="21"/>
      <c r="D41" s="21"/>
      <c r="E41" s="21"/>
      <c r="F41" s="7"/>
      <c r="G41" s="7"/>
      <c r="H41" s="11"/>
      <c r="I41" s="8" t="str">
        <f aca="false">IF(AND(F41&lt;&gt;"",G41&lt;&gt;""),F41*G41,"")</f>
        <v/>
      </c>
    </row>
    <row r="42" customFormat="false" ht="27.75" hidden="false" customHeight="true" outlineLevel="0" collapsed="false">
      <c r="A42" s="6"/>
      <c r="B42" s="6"/>
      <c r="C42" s="21"/>
      <c r="D42" s="21"/>
      <c r="E42" s="21"/>
      <c r="F42" s="7"/>
      <c r="G42" s="7"/>
      <c r="H42" s="11"/>
      <c r="I42" s="8" t="str">
        <f aca="false">IF(AND(F42&lt;&gt;"",G42&lt;&gt;""),F42*G42,"")</f>
        <v/>
      </c>
    </row>
    <row r="43" customFormat="false" ht="27.75" hidden="false" customHeight="true" outlineLevel="0" collapsed="false">
      <c r="A43" s="6"/>
      <c r="B43" s="6"/>
      <c r="C43" s="21"/>
      <c r="D43" s="21"/>
      <c r="E43" s="21"/>
      <c r="F43" s="7"/>
      <c r="G43" s="7"/>
      <c r="H43" s="11"/>
      <c r="I43" s="8" t="str">
        <f aca="false">IF(AND(F43&lt;&gt;"",G43&lt;&gt;""),F43*G43,"")</f>
        <v/>
      </c>
    </row>
    <row r="44" customFormat="false" ht="15" hidden="false" customHeight="false" outlineLevel="0" collapsed="false">
      <c r="A44" s="16" t="s">
        <v>24</v>
      </c>
      <c r="B44" s="23"/>
      <c r="C44" s="23"/>
      <c r="D44" s="23"/>
      <c r="E44" s="23"/>
      <c r="F44" s="23"/>
      <c r="G44" s="23"/>
      <c r="H44" s="23"/>
      <c r="I44" s="17" t="n">
        <f aca="false">SUM(I4:I43)</f>
        <v>0</v>
      </c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A4:A43" type="list">
      <formula1>"임재섭,최민진,여민수,박준오,이보연,김정예,류주형,정새미,김성제,조수영,이보현,(공용)"</formula1>
      <formula2>0</formula2>
    </dataValidation>
    <dataValidation allowBlank="true" errorStyle="stop" operator="between" showDropDown="false" showErrorMessage="false" showInputMessage="false" sqref="B4:B43" type="list">
      <formula1>"HW (데스크탑/모니터/부품),SW (라이선스/구독),AI 요금/API,주변기기/악세사리,실험기자재/소모품,기타"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25" t="s">
        <v>39</v>
      </c>
      <c r="B1" s="25"/>
      <c r="C1" s="25"/>
      <c r="D1" s="25"/>
      <c r="E1" s="25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</row>
    <row r="3" customFormat="false" ht="27.75" hidden="false" customHeight="true" outlineLevel="0" collapsed="false">
      <c r="A3" s="26" t="s">
        <v>41</v>
      </c>
      <c r="B3" s="26" t="s">
        <v>42</v>
      </c>
      <c r="C3" s="26" t="s">
        <v>43</v>
      </c>
      <c r="D3" s="26" t="s">
        <v>44</v>
      </c>
      <c r="E3" s="26" t="s">
        <v>11</v>
      </c>
    </row>
    <row r="4" customFormat="false" ht="15" hidden="false" customHeight="false" outlineLevel="0" collapsed="false">
      <c r="A4" s="5" t="s">
        <v>45</v>
      </c>
      <c r="B4" s="27" t="s">
        <v>46</v>
      </c>
      <c r="C4" s="9" t="n">
        <f aca="false">SUMIF('연구원별 예산편성'!B:B,"오프라인",'연구원별 예산편성'!E:E)</f>
        <v>0</v>
      </c>
      <c r="D4" s="28" t="s">
        <v>47</v>
      </c>
      <c r="E4" s="29"/>
    </row>
    <row r="5" customFormat="false" ht="15" hidden="false" customHeight="false" outlineLevel="0" collapsed="false">
      <c r="A5" s="27"/>
      <c r="B5" s="27" t="s">
        <v>48</v>
      </c>
      <c r="C5" s="9" t="n">
        <f aca="false">'기존실험 지출통계'!F28</f>
        <v>0</v>
      </c>
      <c r="D5" s="30" t="s">
        <v>49</v>
      </c>
      <c r="E5" s="31" t="s">
        <v>50</v>
      </c>
    </row>
    <row r="6" customFormat="false" ht="15" hidden="false" customHeight="false" outlineLevel="0" collapsed="false">
      <c r="A6" s="27"/>
      <c r="B6" s="32" t="s">
        <v>51</v>
      </c>
      <c r="C6" s="9" t="n">
        <f aca="false">SUMIF('연구원별 예산편성'!B:B,"MRI",'연구원별 예산편성'!E:E)</f>
        <v>0</v>
      </c>
      <c r="D6" s="28" t="s">
        <v>52</v>
      </c>
      <c r="E6" s="31"/>
    </row>
    <row r="7" customFormat="false" ht="15" hidden="false" customHeight="false" outlineLevel="0" collapsed="false">
      <c r="A7" s="33"/>
      <c r="B7" s="34" t="s">
        <v>53</v>
      </c>
      <c r="C7" s="17" t="n">
        <f aca="false">C4+C5+C6</f>
        <v>0</v>
      </c>
      <c r="D7" s="35"/>
      <c r="E7" s="36"/>
    </row>
    <row r="8" customFormat="false" ht="15" hidden="false" customHeight="false" outlineLevel="0" collapsed="false">
      <c r="A8" s="5" t="s">
        <v>54</v>
      </c>
      <c r="B8" s="32" t="s">
        <v>55</v>
      </c>
      <c r="C8" s="9" t="n">
        <f aca="false">SUMIF('장비구매 희망목록'!B:B,"HW (데스크탑/모니터/부품)",'장비구매 희망목록'!I:I)</f>
        <v>0</v>
      </c>
      <c r="D8" s="30" t="s">
        <v>56</v>
      </c>
      <c r="E8" s="31"/>
    </row>
    <row r="9" customFormat="false" ht="15" hidden="false" customHeight="false" outlineLevel="0" collapsed="false">
      <c r="A9" s="32"/>
      <c r="B9" s="32" t="s">
        <v>57</v>
      </c>
      <c r="C9" s="9" t="n">
        <f aca="false">SUMIF('장비구매 희망목록'!B:B,"SW (라이선스/구독)",'장비구매 희망목록'!I:I)</f>
        <v>0</v>
      </c>
      <c r="D9" s="30" t="s">
        <v>56</v>
      </c>
      <c r="E9" s="31"/>
    </row>
    <row r="10" customFormat="false" ht="15" hidden="false" customHeight="false" outlineLevel="0" collapsed="false">
      <c r="A10" s="32"/>
      <c r="B10" s="32" t="s">
        <v>58</v>
      </c>
      <c r="C10" s="9" t="n">
        <f aca="false">SUMIF('장비구매 희망목록'!B:B,"AI 요금/API",'장비구매 희망목록'!I:I)</f>
        <v>0</v>
      </c>
      <c r="D10" s="30" t="s">
        <v>56</v>
      </c>
      <c r="E10" s="31"/>
    </row>
    <row r="11" customFormat="false" ht="15" hidden="false" customHeight="false" outlineLevel="0" collapsed="false">
      <c r="A11" s="32"/>
      <c r="B11" s="27" t="s">
        <v>59</v>
      </c>
      <c r="C11" s="9" t="n">
        <f aca="false">SUMIF('장비구매 희망목록'!B:B,"주변기기/악세사리",'장비구매 희망목록'!I:I)</f>
        <v>0</v>
      </c>
      <c r="D11" s="30" t="s">
        <v>56</v>
      </c>
      <c r="E11" s="31"/>
    </row>
    <row r="12" customFormat="false" ht="15" hidden="false" customHeight="false" outlineLevel="0" collapsed="false">
      <c r="A12" s="32"/>
      <c r="B12" s="27" t="s">
        <v>60</v>
      </c>
      <c r="C12" s="9" t="n">
        <f aca="false">SUMIF('장비구매 희망목록'!B:B,"실험기자재/소모품",'장비구매 희망목록'!I:I)</f>
        <v>0</v>
      </c>
      <c r="D12" s="30" t="s">
        <v>56</v>
      </c>
      <c r="E12" s="31"/>
    </row>
    <row r="13" customFormat="false" ht="15" hidden="false" customHeight="false" outlineLevel="0" collapsed="false">
      <c r="A13" s="32"/>
      <c r="B13" s="27" t="s">
        <v>61</v>
      </c>
      <c r="C13" s="9" t="n">
        <f aca="false">SUMIF('장비구매 희망목록'!B:B,"기타",'장비구매 희망목록'!I:I)</f>
        <v>0</v>
      </c>
      <c r="D13" s="30" t="s">
        <v>56</v>
      </c>
      <c r="E13" s="31"/>
    </row>
    <row r="14" customFormat="false" ht="15" hidden="false" customHeight="false" outlineLevel="0" collapsed="false">
      <c r="A14" s="33"/>
      <c r="B14" s="34" t="s">
        <v>53</v>
      </c>
      <c r="C14" s="17" t="n">
        <f aca="false">SUM(C8:C13)</f>
        <v>0</v>
      </c>
      <c r="D14" s="35"/>
      <c r="E14" s="36"/>
    </row>
    <row r="15" customFormat="false" ht="15" hidden="false" customHeight="false" outlineLevel="0" collapsed="false">
      <c r="A15" s="34" t="s">
        <v>24</v>
      </c>
      <c r="B15" s="34"/>
      <c r="C15" s="17" t="n">
        <f aca="false">C7+C14</f>
        <v>0</v>
      </c>
      <c r="D15" s="35"/>
      <c r="E15" s="36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7" width="13"/>
    <col collapsed="false" customWidth="true" hidden="false" outlineLevel="0" max="2" min="2" style="37" width="38"/>
    <col collapsed="false" customWidth="true" hidden="false" outlineLevel="0" max="3" min="3" style="37" width="20"/>
    <col collapsed="false" customWidth="true" hidden="false" outlineLevel="0" max="4" min="4" style="37" width="8"/>
    <col collapsed="false" customWidth="true" hidden="false" outlineLevel="0" max="5" min="5" style="37" width="28"/>
    <col collapsed="false" customWidth="true" hidden="false" outlineLevel="0" max="6" min="6" style="37" width="35"/>
  </cols>
  <sheetData>
    <row r="1" customFormat="false" ht="30" hidden="false" customHeight="true" outlineLevel="0" collapsed="false">
      <c r="A1" s="38" t="s">
        <v>62</v>
      </c>
      <c r="B1" s="38"/>
      <c r="C1" s="38"/>
      <c r="D1" s="38"/>
      <c r="E1" s="38"/>
      <c r="F1" s="38"/>
    </row>
    <row r="2" customFormat="false" ht="27.75" hidden="false" customHeight="true" outlineLevel="0" collapsed="false">
      <c r="A2" s="39"/>
      <c r="B2" s="39"/>
      <c r="C2" s="39"/>
      <c r="D2" s="39"/>
      <c r="E2" s="39"/>
      <c r="F2" s="39"/>
    </row>
    <row r="3" customFormat="false" ht="27.75" hidden="false" customHeight="true" outlineLevel="0" collapsed="false">
      <c r="A3" s="40" t="s">
        <v>63</v>
      </c>
      <c r="B3" s="40" t="s">
        <v>41</v>
      </c>
      <c r="C3" s="40" t="s">
        <v>64</v>
      </c>
      <c r="D3" s="40" t="s">
        <v>65</v>
      </c>
      <c r="E3" s="40" t="s">
        <v>11</v>
      </c>
      <c r="F3" s="39"/>
    </row>
    <row r="4" customFormat="false" ht="27.75" hidden="false" customHeight="true" outlineLevel="0" collapsed="false">
      <c r="A4" s="41" t="s">
        <v>66</v>
      </c>
      <c r="B4" s="42" t="s">
        <v>67</v>
      </c>
      <c r="C4" s="43" t="s">
        <v>68</v>
      </c>
      <c r="D4" s="44" t="s">
        <v>69</v>
      </c>
      <c r="E4" s="45"/>
      <c r="F4" s="39"/>
    </row>
    <row r="5" customFormat="false" ht="27.75" hidden="false" customHeight="true" outlineLevel="0" collapsed="false">
      <c r="A5" s="41" t="s">
        <v>66</v>
      </c>
      <c r="B5" s="46" t="s">
        <v>70</v>
      </c>
      <c r="C5" s="43" t="s">
        <v>71</v>
      </c>
      <c r="D5" s="44" t="s">
        <v>69</v>
      </c>
      <c r="E5" s="45" t="s">
        <v>72</v>
      </c>
      <c r="F5" s="39"/>
    </row>
    <row r="6" customFormat="false" ht="27.75" hidden="false" customHeight="true" outlineLevel="0" collapsed="false">
      <c r="A6" s="41" t="s">
        <v>73</v>
      </c>
      <c r="B6" s="46" t="s">
        <v>74</v>
      </c>
      <c r="C6" s="43" t="s">
        <v>75</v>
      </c>
      <c r="D6" s="44" t="s">
        <v>69</v>
      </c>
      <c r="E6" s="47" t="s">
        <v>76</v>
      </c>
      <c r="F6" s="39"/>
    </row>
    <row r="7" customFormat="false" ht="27.75" hidden="false" customHeight="true" outlineLevel="0" collapsed="false">
      <c r="A7" s="41" t="s">
        <v>77</v>
      </c>
      <c r="B7" s="46" t="s">
        <v>78</v>
      </c>
      <c r="C7" s="43" t="s">
        <v>79</v>
      </c>
      <c r="D7" s="44" t="s">
        <v>69</v>
      </c>
      <c r="E7" s="45" t="s">
        <v>80</v>
      </c>
      <c r="F7" s="39"/>
    </row>
    <row r="8" customFormat="false" ht="27.75" hidden="false" customHeight="true" outlineLevel="0" collapsed="false">
      <c r="A8" s="41" t="s">
        <v>81</v>
      </c>
      <c r="B8" s="42" t="s">
        <v>82</v>
      </c>
      <c r="C8" s="43" t="s">
        <v>83</v>
      </c>
      <c r="D8" s="44" t="s">
        <v>69</v>
      </c>
      <c r="E8" s="45" t="s">
        <v>84</v>
      </c>
      <c r="F8" s="39"/>
    </row>
    <row r="9" customFormat="false" ht="27.75" hidden="false" customHeight="true" outlineLevel="0" collapsed="false">
      <c r="A9" s="41" t="s">
        <v>85</v>
      </c>
      <c r="B9" s="46" t="s">
        <v>86</v>
      </c>
      <c r="C9" s="43" t="s">
        <v>13</v>
      </c>
      <c r="D9" s="44" t="s">
        <v>69</v>
      </c>
      <c r="E9" s="45"/>
      <c r="F9" s="39"/>
    </row>
    <row r="10" customFormat="false" ht="27.75" hidden="false" customHeight="true" outlineLevel="0" collapsed="false">
      <c r="A10" s="41" t="s">
        <v>85</v>
      </c>
      <c r="B10" s="46" t="s">
        <v>87</v>
      </c>
      <c r="C10" s="43" t="s">
        <v>88</v>
      </c>
      <c r="D10" s="44" t="s">
        <v>69</v>
      </c>
      <c r="E10" s="45" t="s">
        <v>89</v>
      </c>
      <c r="F10" s="39"/>
    </row>
    <row r="11" customFormat="false" ht="27.75" hidden="false" customHeight="true" outlineLevel="0" collapsed="false">
      <c r="A11" s="41" t="s">
        <v>90</v>
      </c>
      <c r="B11" s="46" t="s">
        <v>91</v>
      </c>
      <c r="C11" s="43"/>
      <c r="D11" s="44" t="s">
        <v>69</v>
      </c>
      <c r="E11" s="45"/>
      <c r="F11" s="39"/>
    </row>
    <row r="12" customFormat="false" ht="27.75" hidden="false" customHeight="true" outlineLevel="0" collapsed="false">
      <c r="A12" s="39"/>
      <c r="B12" s="39"/>
      <c r="C12" s="39"/>
      <c r="D12" s="39"/>
      <c r="E12" s="39"/>
      <c r="F12" s="39"/>
    </row>
    <row r="13" customFormat="false" ht="27.75" hidden="false" customHeight="true" outlineLevel="0" collapsed="false">
      <c r="A13" s="39"/>
      <c r="B13" s="39"/>
      <c r="C13" s="39"/>
      <c r="D13" s="39"/>
      <c r="E13" s="39"/>
      <c r="F13" s="39"/>
    </row>
    <row r="14" customFormat="false" ht="27.75" hidden="false" customHeight="true" outlineLevel="0" collapsed="false">
      <c r="A14" s="48" t="s">
        <v>92</v>
      </c>
      <c r="B14" s="48"/>
      <c r="C14" s="48"/>
      <c r="D14" s="48"/>
      <c r="E14" s="48"/>
      <c r="F14" s="39"/>
    </row>
    <row r="15" customFormat="false" ht="27.75" hidden="false" customHeight="true" outlineLevel="0" collapsed="false">
      <c r="A15" s="49"/>
      <c r="B15" s="50" t="s">
        <v>93</v>
      </c>
      <c r="C15" s="51" t="s">
        <v>17</v>
      </c>
      <c r="D15" s="44" t="s">
        <v>69</v>
      </c>
      <c r="E15" s="49"/>
      <c r="F15" s="39"/>
    </row>
    <row r="16" customFormat="false" ht="27.75" hidden="false" customHeight="true" outlineLevel="0" collapsed="false">
      <c r="A16" s="49"/>
      <c r="B16" s="50" t="s">
        <v>94</v>
      </c>
      <c r="C16" s="51" t="s">
        <v>15</v>
      </c>
      <c r="D16" s="44" t="s">
        <v>69</v>
      </c>
      <c r="E16" s="49"/>
      <c r="F16" s="39"/>
    </row>
    <row r="17" customFormat="false" ht="27.75" hidden="false" customHeight="true" outlineLevel="0" collapsed="false">
      <c r="A17" s="49"/>
      <c r="B17" s="50" t="s">
        <v>95</v>
      </c>
      <c r="C17" s="51" t="s">
        <v>12</v>
      </c>
      <c r="D17" s="44" t="s">
        <v>69</v>
      </c>
      <c r="E17" s="49"/>
      <c r="F17" s="39"/>
    </row>
    <row r="18" customFormat="false" ht="27.75" hidden="false" customHeight="true" outlineLevel="0" collapsed="false">
      <c r="A18" s="39"/>
      <c r="B18" s="39"/>
      <c r="C18" s="39"/>
      <c r="D18" s="39"/>
      <c r="E18" s="39"/>
      <c r="F18" s="39"/>
    </row>
    <row r="19" customFormat="false" ht="27.75" hidden="false" customHeight="true" outlineLevel="0" collapsed="false">
      <c r="A19" s="39"/>
      <c r="B19" s="39"/>
      <c r="C19" s="39"/>
      <c r="D19" s="39"/>
      <c r="E19" s="39"/>
      <c r="F19" s="39"/>
    </row>
    <row r="20" customFormat="false" ht="27.75" hidden="false" customHeight="true" outlineLevel="0" collapsed="false">
      <c r="A20" s="52" t="s">
        <v>96</v>
      </c>
      <c r="B20" s="52"/>
      <c r="C20" s="52"/>
      <c r="D20" s="52"/>
      <c r="E20" s="52"/>
      <c r="F20" s="52"/>
    </row>
    <row r="21" customFormat="false" ht="30" hidden="false" customHeight="true" outlineLevel="0" collapsed="false">
      <c r="A21" s="53" t="s">
        <v>97</v>
      </c>
      <c r="B21" s="53" t="s">
        <v>98</v>
      </c>
      <c r="C21" s="53" t="s">
        <v>99</v>
      </c>
      <c r="D21" s="54" t="s">
        <v>100</v>
      </c>
      <c r="E21" s="53" t="s">
        <v>101</v>
      </c>
      <c r="F21" s="53" t="s">
        <v>11</v>
      </c>
    </row>
    <row r="22" customFormat="false" ht="27.75" hidden="false" customHeight="true" outlineLevel="0" collapsed="false">
      <c r="A22" s="55" t="n">
        <v>1</v>
      </c>
      <c r="B22" s="56" t="s">
        <v>12</v>
      </c>
      <c r="C22" s="57"/>
      <c r="D22" s="57"/>
      <c r="E22" s="57"/>
      <c r="F22" s="49"/>
    </row>
    <row r="23" customFormat="false" ht="27.75" hidden="false" customHeight="true" outlineLevel="0" collapsed="false">
      <c r="A23" s="55" t="n">
        <v>2</v>
      </c>
      <c r="B23" s="56" t="s">
        <v>13</v>
      </c>
      <c r="C23" s="57"/>
      <c r="D23" s="57"/>
      <c r="E23" s="57"/>
      <c r="F23" s="49"/>
    </row>
    <row r="24" customFormat="false" ht="27.75" hidden="false" customHeight="true" outlineLevel="0" collapsed="false">
      <c r="A24" s="55" t="n">
        <v>3</v>
      </c>
      <c r="B24" s="56" t="s">
        <v>14</v>
      </c>
      <c r="C24" s="57"/>
      <c r="D24" s="57"/>
      <c r="E24" s="57"/>
      <c r="F24" s="49"/>
    </row>
    <row r="25" customFormat="false" ht="27.75" hidden="false" customHeight="true" outlineLevel="0" collapsed="false">
      <c r="A25" s="55" t="n">
        <v>4</v>
      </c>
      <c r="B25" s="56" t="s">
        <v>15</v>
      </c>
      <c r="C25" s="57"/>
      <c r="D25" s="57"/>
      <c r="E25" s="57"/>
      <c r="F25" s="49"/>
    </row>
    <row r="26" customFormat="false" ht="27.75" hidden="false" customHeight="true" outlineLevel="0" collapsed="false">
      <c r="A26" s="55" t="n">
        <v>5</v>
      </c>
      <c r="B26" s="56" t="s">
        <v>16</v>
      </c>
      <c r="C26" s="57"/>
      <c r="D26" s="57"/>
      <c r="E26" s="57"/>
      <c r="F26" s="49"/>
    </row>
    <row r="27" customFormat="false" ht="27.75" hidden="false" customHeight="true" outlineLevel="0" collapsed="false">
      <c r="A27" s="55" t="n">
        <v>6</v>
      </c>
      <c r="B27" s="56" t="s">
        <v>17</v>
      </c>
      <c r="C27" s="57"/>
      <c r="D27" s="57"/>
      <c r="E27" s="57"/>
      <c r="F27" s="49"/>
    </row>
    <row r="28" customFormat="false" ht="27.75" hidden="false" customHeight="true" outlineLevel="0" collapsed="false">
      <c r="A28" s="55" t="n">
        <v>7</v>
      </c>
      <c r="B28" s="56" t="s">
        <v>18</v>
      </c>
      <c r="C28" s="57"/>
      <c r="D28" s="57"/>
      <c r="E28" s="57"/>
      <c r="F28" s="49"/>
    </row>
    <row r="29" customFormat="false" ht="27.75" hidden="false" customHeight="true" outlineLevel="0" collapsed="false">
      <c r="A29" s="55" t="n">
        <v>8</v>
      </c>
      <c r="B29" s="56" t="s">
        <v>19</v>
      </c>
      <c r="C29" s="57"/>
      <c r="D29" s="57"/>
      <c r="E29" s="57"/>
      <c r="F29" s="49"/>
    </row>
    <row r="30" customFormat="false" ht="27.75" hidden="false" customHeight="true" outlineLevel="0" collapsed="false">
      <c r="A30" s="55" t="n">
        <v>9</v>
      </c>
      <c r="B30" s="56" t="s">
        <v>20</v>
      </c>
      <c r="C30" s="57"/>
      <c r="D30" s="57"/>
      <c r="E30" s="57"/>
      <c r="F30" s="49"/>
    </row>
  </sheetData>
  <mergeCells count="3">
    <mergeCell ref="A1:F1"/>
    <mergeCell ref="A14:E14"/>
    <mergeCell ref="A20:F20"/>
  </mergeCells>
  <dataValidations count="1">
    <dataValidation allowBlank="true" errorStyle="stop" operator="between" prompt="완료 여부" showDropDown="false" showErrorMessage="false" showInputMessage="false" sqref="D4:D11 D15:D17" type="list">
      <formula1>"✅,⬜"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2026-04-01T10:10:08Z</dcterms:created>
  <dc:creator>openpyxl</dc:creator>
  <dc:description/>
  <dc:language>en-US</dc:language>
  <cp:lastModifiedBy/>
  <dcterms:modified xsi:type="dcterms:W3CDTF">2026-04-02T02:22:47Z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